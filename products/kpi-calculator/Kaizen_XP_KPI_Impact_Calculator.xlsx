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xample" sheetId="2" state="visible" r:id="rId4"/>
    <sheet name="Calculator" sheetId="3" state="visible" r:id="rId5"/>
    <sheet name="Improvement Log" sheetId="4" state="visible" r:id="rId6"/>
  </sheets>
  <definedNames>
    <definedName function="false" hidden="false" localSheetId="2" name="_xlnm.Print_Area" vbProcedure="false">Calculator!$A$1:$G$48</definedName>
    <definedName function="false" hidden="false" localSheetId="1" name="_xlnm.Print_Area" vbProcedure="false">Example!$A$1:$G$48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<sst xmlns="http://schemas.openxmlformats.org/spreadsheetml/2006/main" count="165" uniqueCount="101">
  <si>
    <t xml:space="preserve">KAIZEN XP  |  KPI IMPACT CALCULATOR</t>
  </si>
  <si>
    <t xml:space="preserve">Put a pound sign on any problem in two minutes.</t>
  </si>
  <si>
    <t xml:space="preserve">WHAT IT DOES</t>
  </si>
  <si>
    <t xml:space="preserve">Turns "this keeps happening" into a number a manager will act on: hours lost, what they cost, and what fixing it is worth every year.</t>
  </si>
  <si>
    <t xml:space="preserve">WHY IT MATTERS</t>
  </si>
  <si>
    <t xml:space="preserve">"The labeller keeps jamming" gets a nod. "The labeller jams are costing us £4,300 a year and the fix costs £25" gets a decision.</t>
  </si>
  <si>
    <t xml:space="preserve">HOW TO USE IT</t>
  </si>
  <si>
    <t xml:space="preserve">1. Go to the Calculator tab.</t>
  </si>
  <si>
    <t xml:space="preserve">2. Fill in the cream boxes with blue text. Leave anything that does not apply blank.</t>
  </si>
  <si>
    <t xml:space="preserve">3. Fill in BEFORE now. Fill in AFTER THE FIX once your fix has been in for a week or two.</t>
  </si>
  <si>
    <t xml:space="preserve">4. Copy your sentence from the bottom of the page into your email or review.</t>
  </si>
  <si>
    <t xml:space="preserve">5. Log every result on the Improvement Log tab so you have a running total.</t>
  </si>
  <si>
    <t xml:space="preserve">THE TABS</t>
  </si>
  <si>
    <t xml:space="preserve">Example: a filled-in calculation (Line 3 labeller) so you can see what good looks like.</t>
  </si>
  <si>
    <t xml:space="preserve">Calculator: your own calculation. Save a copy of the file for each new problem.</t>
  </si>
  <si>
    <t xml:space="preserve">Improvement Log: every problem you have costed and fixed, with a running total.</t>
  </si>
  <si>
    <t xml:space="preserve">THE RULES</t>
  </si>
  <si>
    <t xml:space="preserve">Count, do not guess, where you can. A week of tally marks beats a hunch.</t>
  </si>
  <si>
    <t xml:space="preserve">If you do not know what an hour costs, use your own hourly rate. It is the lowest honest number, so nobody can argue with it.</t>
  </si>
  <si>
    <t xml:space="preserve">Only count margin on lost sales, not the full price. It keeps your numbers believable.</t>
  </si>
  <si>
    <t xml:space="preserve">WORKS IN</t>
  </si>
  <si>
    <t xml:space="preserve">Microsoft Excel, Google Sheets (File &gt; Import) and Apple Numbers. The formulas are locked so they cannot be broken by accident. The cream boxes are not.</t>
  </si>
  <si>
    <t xml:space="preserve">LEGEND</t>
  </si>
  <si>
    <t xml:space="preserve">Type here</t>
  </si>
  <si>
    <t xml:space="preserve">Worked out for you (locked)</t>
  </si>
  <si>
    <t xml:space="preserve">The headline number</t>
  </si>
  <si>
    <t xml:space="preserve">"Do what nobody else can be bothered to do, and you'll get what nobody else gets."</t>
  </si>
  <si>
    <t xml:space="preserve">© 2026 Kaizen XP. Licensed for one person's use. Please do not share or resell.</t>
  </si>
  <si>
    <t xml:space="preserve">Put a pound sign on any problem. Fill in the cream boxes (blue text). Everything else works itself out.</t>
  </si>
  <si>
    <t xml:space="preserve">THE ISSUE</t>
  </si>
  <si>
    <t xml:space="preserve">What is the problem or improvement?</t>
  </si>
  <si>
    <t xml:space="preserve">Line 3 labeller jams at reel change</t>
  </si>
  <si>
    <t xml:space="preserve">This tab is a worked example. Use the Calculator tab for your own.</t>
  </si>
  <si>
    <t xml:space="preserve">Line, machine or area</t>
  </si>
  <si>
    <t xml:space="preserve">Line 3, nights</t>
  </si>
  <si>
    <t xml:space="preserve">Calculated by</t>
  </si>
  <si>
    <t xml:space="preserve">Sam</t>
  </si>
  <si>
    <t xml:space="preserve">Date</t>
  </si>
  <si>
    <t xml:space="preserve">Week 2</t>
  </si>
  <si>
    <t xml:space="preserve">Main impact</t>
  </si>
  <si>
    <t xml:space="preserve">More than one</t>
  </si>
  <si>
    <t xml:space="preserve">Pick from the list.</t>
  </si>
  <si>
    <t xml:space="preserve">1.  HOW OFTEN AND HOW LONG</t>
  </si>
  <si>
    <t xml:space="preserve">BEFORE</t>
  </si>
  <si>
    <t xml:space="preserve">AFTER THE FIX</t>
  </si>
  <si>
    <t xml:space="preserve">Times it happens per shift</t>
  </si>
  <si>
    <t xml:space="preserve">Count it for a week if you can. A guess you can defend is fine to start.</t>
  </si>
  <si>
    <t xml:space="preserve">Minutes lost each time</t>
  </si>
  <si>
    <t xml:space="preserve">From the moment it goes wrong to running normally again.</t>
  </si>
  <si>
    <t xml:space="preserve">People tied up each time</t>
  </si>
  <si>
    <t xml:space="preserve">How many people stop what they are doing. Leave AFTER blank if nothing changes.</t>
  </si>
  <si>
    <t xml:space="preserve">Shifts per week it happens on</t>
  </si>
  <si>
    <t xml:space="preserve">Example: 3 shifts a day, 5 days a week = 15.</t>
  </si>
  <si>
    <t xml:space="preserve">Weeks a year the job runs</t>
  </si>
  <si>
    <t xml:space="preserve">Use 52, or fewer for shutdowns and closed weeks.</t>
  </si>
  <si>
    <t xml:space="preserve">2.  WHAT AN HOUR COSTS</t>
  </si>
  <si>
    <t xml:space="preserve">Staff cost per hour (£)</t>
  </si>
  <si>
    <t xml:space="preserve">Not sure? Use your own hourly rate. It is the lowest honest number.</t>
  </si>
  <si>
    <t xml:space="preserve">Cost of an hour of line downtime (£)  OPTIONAL</t>
  </si>
  <si>
    <t xml:space="preserve">Only if the problem stops a line. Ask what an hour of lost output is worth. Leave blank if not.</t>
  </si>
  <si>
    <t xml:space="preserve">3.  WASTE AND LOST SALES  (OPTIONAL)</t>
  </si>
  <si>
    <t xml:space="preserve">Units scrapped or wasted per week</t>
  </si>
  <si>
    <t xml:space="preserve">Packs, kg, labels, products. Whatever ends up in the bin.</t>
  </si>
  <si>
    <t xml:space="preserve">Cost per wasted unit (£)</t>
  </si>
  <si>
    <t xml:space="preserve">Sales lost per week (£)</t>
  </si>
  <si>
    <t xml:space="preserve">Retail: empty shelves, out of stocks, customers walking out.</t>
  </si>
  <si>
    <t xml:space="preserve">Margin on those sales (%)</t>
  </si>
  <si>
    <t xml:space="preserve">Type 25 for 25%. Only the margin is really lost, not the full price.</t>
  </si>
  <si>
    <t xml:space="preserve">WHAT IT COSTS A YEAR</t>
  </si>
  <si>
    <t xml:space="preserve">SAVING</t>
  </si>
  <si>
    <t xml:space="preserve">People hours lost a year</t>
  </si>
  <si>
    <t xml:space="preserve">Line hours stopped a year</t>
  </si>
  <si>
    <t xml:space="preserve">Only counts if you filled in a downtime cost.</t>
  </si>
  <si>
    <t xml:space="preserve">Staff time cost</t>
  </si>
  <si>
    <t xml:space="preserve">Downtime cost</t>
  </si>
  <si>
    <t xml:space="preserve">Waste cost</t>
  </si>
  <si>
    <t xml:space="preserve">Lost margin</t>
  </si>
  <si>
    <t xml:space="preserve">TOTAL COST OF THIS PROBLEM A YEAR</t>
  </si>
  <si>
    <t xml:space="preserve">THE PAYBACK</t>
  </si>
  <si>
    <t xml:space="preserve">What the fix cost (£)</t>
  </si>
  <si>
    <t xml:space="preserve">Parts, materials, hours spent. Leave blank if it cost nothing.</t>
  </si>
  <si>
    <t xml:space="preserve">Saving per week (£)</t>
  </si>
  <si>
    <t xml:space="preserve">The fix pays for itself in</t>
  </si>
  <si>
    <t xml:space="preserve">YOUR SENTENCE   (copy it into your Weekly Wins email, improvement log and review)</t>
  </si>
  <si>
    <t xml:space="preserve">KAIZEN XP  |  IMPROVEMENT LOG</t>
  </si>
  <si>
    <t xml:space="preserve">Every problem you have costed and fixed. Copy the SAVING numbers across from each calculation.</t>
  </si>
  <si>
    <t xml:space="preserve">RUNNING TOTAL</t>
  </si>
  <si>
    <t xml:space="preserve">Improvements logged</t>
  </si>
  <si>
    <t xml:space="preserve">£ a year saved, all fixes</t>
  </si>
  <si>
    <t xml:space="preserve">Hours a year</t>
  </si>
  <si>
    <t xml:space="preserve">DATE</t>
  </si>
  <si>
    <t xml:space="preserve">PROBLEM FIXED</t>
  </si>
  <si>
    <t xml:space="preserve">LINE / AREA</t>
  </si>
  <si>
    <t xml:space="preserve">HOURS SAVED A YEAR</t>
  </si>
  <si>
    <t xml:space="preserve">£ SAVED A YEAR</t>
  </si>
  <si>
    <t xml:space="preserve">WHO SAW IT?</t>
  </si>
  <si>
    <t xml:space="preserve">STATUS</t>
  </si>
  <si>
    <t xml:space="preserve">Line 3</t>
  </si>
  <si>
    <t xml:space="preserve">Line leader and manager</t>
  </si>
  <si>
    <t xml:space="preserve">Fixed and checked</t>
  </si>
  <si>
    <t xml:space="preserve">Example row. Overwrite it.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</si>
</sst>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;\(#,##0.0\);\-"/>
    <numFmt numFmtId="166" formatCode="#,##0;\(#,##0\);\-"/>
    <numFmt numFmtId="167" formatCode="\£#,##0.00"/>
    <numFmt numFmtId="168" formatCode="\£#,##0"/>
    <numFmt numFmtId="169" formatCode="\£#,##0.00;&quot;-£&quot;#,##0.00;\-"/>
    <numFmt numFmtId="170" formatCode="0.0"/>
    <numFmt numFmtId="171" formatCode="0.0;\-0.0;\-"/>
    <numFmt numFmtId="172" formatCode="\£#,##0;&quot;(£&quot;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i val="true"/>
      <sz val="9"/>
      <color rgb="FFBBBBBB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0D0D0D"/>
      <name val="Arial"/>
      <family val="0"/>
      <charset val="1"/>
    </font>
    <font>
      <b val="true"/>
      <sz val="10"/>
      <color rgb="FF0D0D0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i val="true"/>
      <sz val="8"/>
      <color rgb="FF9A7B1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sz val="11"/>
      <color rgb="FF0D0D0D"/>
      <name val="Arial"/>
      <family val="0"/>
      <charset val="1"/>
    </font>
    <font>
      <b val="true"/>
      <sz val="11"/>
      <color rgb="FF0D0D0D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i val="true"/>
      <sz val="12"/>
      <color rgb="FF1A1A1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0D0D0D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C9A84C"/>
        <bgColor rgb="FF999999"/>
      </patternFill>
    </fill>
    <fill>
      <patternFill patternType="solid">
        <fgColor rgb="FFF3EFE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CCB8"/>
      </left>
      <right style="thin">
        <color rgb="FFD3CCB8"/>
      </right>
      <top style="thin">
        <color rgb="FFD3CCB8"/>
      </top>
      <bottom style="thin">
        <color rgb="FFD3CC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1" shrinkToFit="false"/>
      <protection locked="fals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72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B1F"/>
      <rgbColor rgb="FF800080"/>
      <rgbColor rgb="FF008080"/>
      <rgbColor rgb="FFBBBBBB"/>
      <rgbColor rgb="FF808080"/>
      <rgbColor rgb="FF9999FF"/>
      <rgbColor rgb="FF993366"/>
      <rgbColor rgb="FFF3EFE4"/>
      <rgbColor rgb="FFCCFFFF"/>
      <rgbColor rgb="FF660066"/>
      <rgbColor rgb="FFFF8080"/>
      <rgbColor rgb="FF0066CC"/>
      <rgbColor rgb="FFD3CCB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666666"/>
      <rgbColor rgb="FF999999"/>
      <rgbColor rgb="FF003366"/>
      <rgbColor rgb="FF339966"/>
      <rgbColor rgb="FF0D0D0D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33.75" hidden="false" customHeight="true" outlineLevel="0" collapsed="false">
      <c r="A1" s="1"/>
      <c r="B1" s="2" t="s">
        <v>0</v>
      </c>
      <c r="C1" s="2"/>
      <c r="D1" s="1"/>
    </row>
    <row r="2" customFormat="false" ht="19.5" hidden="false" customHeight="true" outlineLevel="0" collapsed="false">
      <c r="A2" s="1"/>
      <c r="B2" s="3" t="s">
        <v>1</v>
      </c>
      <c r="C2" s="3"/>
      <c r="D2" s="1"/>
    </row>
    <row r="3" customFormat="false" ht="3" hidden="false" customHeight="true" outlineLevel="0" collapsed="false">
      <c r="A3" s="4"/>
      <c r="B3" s="4"/>
      <c r="C3" s="4"/>
      <c r="D3" s="4"/>
    </row>
    <row r="5" customFormat="false" ht="30" hidden="false" customHeight="true" outlineLevel="0" collapsed="false">
      <c r="B5" s="5" t="s">
        <v>2</v>
      </c>
      <c r="C5" s="6" t="s">
        <v>3</v>
      </c>
    </row>
    <row r="6" customFormat="false" ht="30" hidden="false" customHeight="true" outlineLevel="0" collapsed="false">
      <c r="B6" s="5" t="s">
        <v>4</v>
      </c>
      <c r="C6" s="6" t="s">
        <v>5</v>
      </c>
    </row>
    <row r="7" customFormat="false" ht="16.5" hidden="false" customHeight="true" outlineLevel="0" collapsed="false">
      <c r="B7" s="5"/>
      <c r="C7" s="6"/>
    </row>
    <row r="8" customFormat="false" ht="16.5" hidden="false" customHeight="true" outlineLevel="0" collapsed="false">
      <c r="B8" s="5" t="s">
        <v>6</v>
      </c>
      <c r="C8" s="6" t="s">
        <v>7</v>
      </c>
    </row>
    <row r="9" customFormat="false" ht="16.5" hidden="false" customHeight="true" outlineLevel="0" collapsed="false">
      <c r="B9" s="5"/>
      <c r="C9" s="6" t="s">
        <v>8</v>
      </c>
    </row>
    <row r="10" customFormat="false" ht="30" hidden="false" customHeight="true" outlineLevel="0" collapsed="false">
      <c r="B10" s="5"/>
      <c r="C10" s="6" t="s">
        <v>9</v>
      </c>
    </row>
    <row r="11" customFormat="false" ht="16.5" hidden="false" customHeight="true" outlineLevel="0" collapsed="false">
      <c r="B11" s="5"/>
      <c r="C11" s="6" t="s">
        <v>10</v>
      </c>
    </row>
    <row r="12" customFormat="false" ht="16.5" hidden="false" customHeight="true" outlineLevel="0" collapsed="false">
      <c r="B12" s="5"/>
      <c r="C12" s="6" t="s">
        <v>11</v>
      </c>
    </row>
    <row r="13" customFormat="false" ht="16.5" hidden="false" customHeight="true" outlineLevel="0" collapsed="false">
      <c r="B13" s="5"/>
      <c r="C13" s="6"/>
    </row>
    <row r="14" customFormat="false" ht="30" hidden="false" customHeight="true" outlineLevel="0" collapsed="false">
      <c r="B14" s="5" t="s">
        <v>12</v>
      </c>
      <c r="C14" s="6" t="s">
        <v>13</v>
      </c>
    </row>
    <row r="15" customFormat="false" ht="16.5" hidden="false" customHeight="true" outlineLevel="0" collapsed="false">
      <c r="B15" s="5"/>
      <c r="C15" s="6" t="s">
        <v>14</v>
      </c>
    </row>
    <row r="16" customFormat="false" ht="16.5" hidden="false" customHeight="true" outlineLevel="0" collapsed="false">
      <c r="B16" s="5"/>
      <c r="C16" s="6" t="s">
        <v>15</v>
      </c>
    </row>
    <row r="17" customFormat="false" ht="16.5" hidden="false" customHeight="true" outlineLevel="0" collapsed="false">
      <c r="B17" s="5"/>
      <c r="C17" s="6"/>
    </row>
    <row r="18" customFormat="false" ht="16.5" hidden="false" customHeight="true" outlineLevel="0" collapsed="false">
      <c r="B18" s="5" t="s">
        <v>16</v>
      </c>
      <c r="C18" s="6" t="s">
        <v>17</v>
      </c>
    </row>
    <row r="19" customFormat="false" ht="30" hidden="false" customHeight="true" outlineLevel="0" collapsed="false">
      <c r="B19" s="5"/>
      <c r="C19" s="6" t="s">
        <v>18</v>
      </c>
    </row>
    <row r="20" customFormat="false" ht="30" hidden="false" customHeight="true" outlineLevel="0" collapsed="false">
      <c r="B20" s="5"/>
      <c r="C20" s="6" t="s">
        <v>19</v>
      </c>
    </row>
    <row r="21" customFormat="false" ht="16.5" hidden="false" customHeight="true" outlineLevel="0" collapsed="false">
      <c r="B21" s="5"/>
      <c r="C21" s="6"/>
    </row>
    <row r="22" customFormat="false" ht="30" hidden="false" customHeight="true" outlineLevel="0" collapsed="false">
      <c r="B22" s="5" t="s">
        <v>20</v>
      </c>
      <c r="C22" s="6" t="s">
        <v>21</v>
      </c>
    </row>
    <row r="24" customFormat="false" ht="15" hidden="false" customHeight="false" outlineLevel="0" collapsed="false">
      <c r="B24" s="7" t="s">
        <v>22</v>
      </c>
      <c r="C24" s="8" t="s">
        <v>23</v>
      </c>
    </row>
    <row r="25" customFormat="false" ht="15" hidden="false" customHeight="false" outlineLevel="0" collapsed="false">
      <c r="C25" s="9" t="s">
        <v>24</v>
      </c>
    </row>
    <row r="26" customFormat="false" ht="15" hidden="false" customHeight="false" outlineLevel="0" collapsed="false">
      <c r="C26" s="10" t="s">
        <v>25</v>
      </c>
    </row>
    <row r="28" customFormat="false" ht="15" hidden="false" customHeight="false" outlineLevel="0" collapsed="false">
      <c r="B28" s="11" t="s">
        <v>26</v>
      </c>
    </row>
    <row r="29" customFormat="false" ht="15" hidden="false" customHeight="false" outlineLevel="0" collapsed="false">
      <c r="B29" s="12" t="s">
        <v>27</v>
      </c>
    </row>
  </sheetData>
  <mergeCells count="2">
    <mergeCell ref="B1:C1"/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7"/>
    <col collapsed="false" customWidth="true" hidden="false" outlineLevel="0" max="6" min="6" style="0" width="44"/>
    <col collapsed="false" customWidth="true" hidden="false" outlineLevel="0" max="7" min="7" style="0" width="2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1"/>
    </row>
    <row r="2" customFormat="false" ht="19.5" hidden="false" customHeight="true" outlineLevel="0" collapsed="false">
      <c r="A2" s="1"/>
      <c r="B2" s="3" t="s">
        <v>28</v>
      </c>
      <c r="C2" s="3"/>
      <c r="D2" s="3"/>
      <c r="E2" s="3"/>
      <c r="F2" s="3"/>
      <c r="G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</row>
    <row r="5" customFormat="false" ht="19.5" hidden="false" customHeight="true" outlineLevel="0" collapsed="false">
      <c r="B5" s="13" t="s">
        <v>29</v>
      </c>
      <c r="C5" s="14"/>
      <c r="D5" s="14"/>
      <c r="E5" s="14"/>
      <c r="F5" s="14"/>
    </row>
    <row r="6" customFormat="false" ht="21.75" hidden="false" customHeight="true" outlineLevel="0" collapsed="false">
      <c r="B6" s="15" t="s">
        <v>30</v>
      </c>
      <c r="C6" s="16" t="s">
        <v>31</v>
      </c>
      <c r="D6" s="16"/>
      <c r="E6" s="16"/>
      <c r="F6" s="17" t="s">
        <v>32</v>
      </c>
    </row>
    <row r="7" customFormat="false" ht="21.75" hidden="false" customHeight="true" outlineLevel="0" collapsed="false">
      <c r="B7" s="15" t="s">
        <v>33</v>
      </c>
      <c r="C7" s="16" t="s">
        <v>34</v>
      </c>
      <c r="D7" s="16"/>
      <c r="E7" s="16"/>
    </row>
    <row r="8" customFormat="false" ht="21.75" hidden="false" customHeight="true" outlineLevel="0" collapsed="false">
      <c r="B8" s="15" t="s">
        <v>35</v>
      </c>
      <c r="C8" s="16" t="s">
        <v>36</v>
      </c>
      <c r="D8" s="16"/>
      <c r="E8" s="16"/>
    </row>
    <row r="9" customFormat="false" ht="21.75" hidden="false" customHeight="true" outlineLevel="0" collapsed="false">
      <c r="B9" s="15" t="s">
        <v>37</v>
      </c>
      <c r="C9" s="16" t="s">
        <v>38</v>
      </c>
      <c r="D9" s="16"/>
      <c r="E9" s="16"/>
    </row>
    <row r="10" customFormat="false" ht="21.75" hidden="false" customHeight="true" outlineLevel="0" collapsed="false">
      <c r="B10" s="15" t="s">
        <v>39</v>
      </c>
      <c r="C10" s="18" t="s">
        <v>40</v>
      </c>
      <c r="F10" s="19" t="s">
        <v>41</v>
      </c>
    </row>
    <row r="12" customFormat="false" ht="19.5" hidden="false" customHeight="true" outlineLevel="0" collapsed="false">
      <c r="B12" s="13" t="s">
        <v>42</v>
      </c>
      <c r="C12" s="20" t="s">
        <v>43</v>
      </c>
      <c r="D12" s="20" t="s">
        <v>44</v>
      </c>
      <c r="E12" s="14"/>
      <c r="F12" s="14"/>
    </row>
    <row r="13" customFormat="false" ht="21.75" hidden="false" customHeight="true" outlineLevel="0" collapsed="false">
      <c r="B13" s="15" t="s">
        <v>45</v>
      </c>
      <c r="C13" s="21" t="n">
        <v>4</v>
      </c>
      <c r="D13" s="21" t="n">
        <v>1</v>
      </c>
      <c r="F13" s="19" t="s">
        <v>46</v>
      </c>
    </row>
    <row r="14" customFormat="false" ht="21.75" hidden="false" customHeight="true" outlineLevel="0" collapsed="false">
      <c r="B14" s="15" t="s">
        <v>47</v>
      </c>
      <c r="C14" s="21" t="n">
        <v>6</v>
      </c>
      <c r="D14" s="21"/>
      <c r="F14" s="19" t="s">
        <v>48</v>
      </c>
    </row>
    <row r="15" customFormat="false" ht="21.75" hidden="false" customHeight="true" outlineLevel="0" collapsed="false">
      <c r="B15" s="15" t="s">
        <v>49</v>
      </c>
      <c r="C15" s="21" t="n">
        <v>1</v>
      </c>
      <c r="D15" s="21"/>
      <c r="F15" s="19" t="s">
        <v>50</v>
      </c>
    </row>
    <row r="16" customFormat="false" ht="21.75" hidden="false" customHeight="true" outlineLevel="0" collapsed="false">
      <c r="B16" s="15" t="s">
        <v>51</v>
      </c>
      <c r="C16" s="22" t="n">
        <v>15</v>
      </c>
      <c r="D16" s="23" t="n">
        <f aca="false">C16</f>
        <v>15</v>
      </c>
      <c r="F16" s="19" t="s">
        <v>52</v>
      </c>
    </row>
    <row r="17" customFormat="false" ht="21.75" hidden="false" customHeight="true" outlineLevel="0" collapsed="false">
      <c r="B17" s="15" t="s">
        <v>53</v>
      </c>
      <c r="C17" s="22" t="n">
        <v>52</v>
      </c>
      <c r="D17" s="23" t="n">
        <f aca="false">C17</f>
        <v>52</v>
      </c>
      <c r="F17" s="19" t="s">
        <v>54</v>
      </c>
    </row>
    <row r="19" customFormat="false" ht="19.5" hidden="false" customHeight="true" outlineLevel="0" collapsed="false">
      <c r="B19" s="13" t="s">
        <v>55</v>
      </c>
      <c r="C19" s="14"/>
      <c r="D19" s="14"/>
      <c r="E19" s="14"/>
      <c r="F19" s="14"/>
    </row>
    <row r="20" customFormat="false" ht="21.75" hidden="false" customHeight="true" outlineLevel="0" collapsed="false">
      <c r="B20" s="15" t="s">
        <v>56</v>
      </c>
      <c r="C20" s="24" t="n">
        <v>13</v>
      </c>
      <c r="F20" s="19" t="s">
        <v>57</v>
      </c>
    </row>
    <row r="21" customFormat="false" ht="21.75" hidden="false" customHeight="true" outlineLevel="0" collapsed="false">
      <c r="B21" s="15" t="s">
        <v>58</v>
      </c>
      <c r="C21" s="25"/>
      <c r="F21" s="19" t="s">
        <v>59</v>
      </c>
    </row>
    <row r="23" customFormat="false" ht="19.5" hidden="false" customHeight="true" outlineLevel="0" collapsed="false">
      <c r="B23" s="13" t="s">
        <v>60</v>
      </c>
      <c r="C23" s="20" t="s">
        <v>43</v>
      </c>
      <c r="D23" s="20" t="s">
        <v>44</v>
      </c>
      <c r="E23" s="14"/>
      <c r="F23" s="14"/>
    </row>
    <row r="24" customFormat="false" ht="21.75" hidden="false" customHeight="true" outlineLevel="0" collapsed="false">
      <c r="B24" s="15" t="s">
        <v>61</v>
      </c>
      <c r="C24" s="22" t="n">
        <v>40</v>
      </c>
      <c r="D24" s="22" t="n">
        <v>10</v>
      </c>
      <c r="F24" s="19" t="s">
        <v>62</v>
      </c>
    </row>
    <row r="25" customFormat="false" ht="21.75" hidden="false" customHeight="true" outlineLevel="0" collapsed="false">
      <c r="B25" s="15" t="s">
        <v>63</v>
      </c>
      <c r="C25" s="24" t="n">
        <v>0.8</v>
      </c>
      <c r="D25" s="26" t="n">
        <f aca="false">C25</f>
        <v>0.8</v>
      </c>
    </row>
    <row r="26" customFormat="false" ht="21.75" hidden="false" customHeight="true" outlineLevel="0" collapsed="false">
      <c r="B26" s="15" t="s">
        <v>64</v>
      </c>
      <c r="C26" s="25"/>
      <c r="D26" s="25"/>
      <c r="F26" s="19" t="s">
        <v>65</v>
      </c>
    </row>
    <row r="27" customFormat="false" ht="21.75" hidden="false" customHeight="true" outlineLevel="0" collapsed="false">
      <c r="B27" s="15" t="s">
        <v>66</v>
      </c>
      <c r="C27" s="27"/>
      <c r="D27" s="28" t="n">
        <f aca="false">C27</f>
        <v>0</v>
      </c>
      <c r="F27" s="19" t="s">
        <v>67</v>
      </c>
    </row>
    <row r="29" customFormat="false" ht="19.5" hidden="false" customHeight="true" outlineLevel="0" collapsed="false">
      <c r="B29" s="13" t="s">
        <v>68</v>
      </c>
      <c r="C29" s="20" t="s">
        <v>43</v>
      </c>
      <c r="D29" s="20" t="s">
        <v>44</v>
      </c>
      <c r="E29" s="20" t="s">
        <v>69</v>
      </c>
      <c r="F29" s="14"/>
    </row>
    <row r="30" customFormat="false" ht="21.75" hidden="false" customHeight="true" outlineLevel="0" collapsed="false">
      <c r="B30" s="15" t="s">
        <v>70</v>
      </c>
      <c r="C30" s="23" t="n">
        <f aca="false">N(C13)*N(C14)*N(C15)*N(C16)*N(C17)/60</f>
        <v>312</v>
      </c>
      <c r="D30" s="23" t="n">
        <f aca="false">IF(D13="",N(C13),N(D13))*IF(D14="",N(C14),N(D14))*IF(D15="",N(C15),N(D15))*N(D16)*N(D17)/60</f>
        <v>78</v>
      </c>
      <c r="E30" s="29" t="n">
        <f aca="false">C30-D30</f>
        <v>234</v>
      </c>
    </row>
    <row r="31" customFormat="false" ht="21.75" hidden="false" customHeight="true" outlineLevel="0" collapsed="false">
      <c r="B31" s="15" t="s">
        <v>71</v>
      </c>
      <c r="C31" s="23" t="n">
        <f aca="false">IF(N(C21)=0,0,N(C13)*N(C14)*N(C16)*N(C17)/60)</f>
        <v>0</v>
      </c>
      <c r="D31" s="23" t="n">
        <f aca="false">IF(N(C21)=0,0,IF(D13="",N(C13),N(D13))*IF(D14="",N(C14),N(D14))*N(D16)*N(D17)/60)</f>
        <v>0</v>
      </c>
      <c r="E31" s="29" t="n">
        <f aca="false">C31-D31</f>
        <v>0</v>
      </c>
      <c r="F31" s="30" t="s">
        <v>72</v>
      </c>
    </row>
    <row r="32" customFormat="false" ht="21.75" hidden="false" customHeight="true" outlineLevel="0" collapsed="false">
      <c r="B32" s="15" t="s">
        <v>73</v>
      </c>
      <c r="C32" s="31" t="n">
        <f aca="false">C30*N(C20)</f>
        <v>4056</v>
      </c>
      <c r="D32" s="31" t="n">
        <f aca="false">D30*N(C20)</f>
        <v>1014</v>
      </c>
      <c r="E32" s="32" t="n">
        <f aca="false">C32-D32</f>
        <v>3042</v>
      </c>
    </row>
    <row r="33" customFormat="false" ht="21.75" hidden="false" customHeight="true" outlineLevel="0" collapsed="false">
      <c r="B33" s="15" t="s">
        <v>74</v>
      </c>
      <c r="C33" s="31" t="n">
        <f aca="false">C31*N(C21)</f>
        <v>0</v>
      </c>
      <c r="D33" s="31" t="n">
        <f aca="false">D31*N(C21)</f>
        <v>0</v>
      </c>
      <c r="E33" s="32" t="n">
        <f aca="false">C33-D33</f>
        <v>0</v>
      </c>
    </row>
    <row r="34" customFormat="false" ht="21.75" hidden="false" customHeight="true" outlineLevel="0" collapsed="false">
      <c r="B34" s="15" t="s">
        <v>75</v>
      </c>
      <c r="C34" s="31" t="n">
        <f aca="false">N(C24)*N(C25)*N(C17)</f>
        <v>1664</v>
      </c>
      <c r="D34" s="31" t="n">
        <f aca="false">IF(D24="",N(C24),N(D24))*N(C25)*N(C17)</f>
        <v>416</v>
      </c>
      <c r="E34" s="32" t="n">
        <f aca="false">C34-D34</f>
        <v>1248</v>
      </c>
    </row>
    <row r="35" customFormat="false" ht="21.75" hidden="false" customHeight="true" outlineLevel="0" collapsed="false">
      <c r="B35" s="15" t="s">
        <v>76</v>
      </c>
      <c r="C35" s="31" t="n">
        <f aca="false">N(C26)*N(C27)/100*N(C17)</f>
        <v>0</v>
      </c>
      <c r="D35" s="31" t="n">
        <f aca="false">IF(D26="",N(C26),N(D26))*N(C27)/100*N(C17)</f>
        <v>0</v>
      </c>
      <c r="E35" s="32" t="n">
        <f aca="false">C35-D35</f>
        <v>0</v>
      </c>
    </row>
    <row r="36" customFormat="false" ht="25.5" hidden="false" customHeight="true" outlineLevel="0" collapsed="false">
      <c r="B36" s="33" t="s">
        <v>77</v>
      </c>
      <c r="C36" s="32" t="n">
        <f aca="false">SUM(C32:C35)</f>
        <v>5720</v>
      </c>
      <c r="D36" s="32" t="n">
        <f aca="false">SUM(D32:D35)</f>
        <v>1430</v>
      </c>
      <c r="E36" s="34" t="n">
        <f aca="false">C36-D36</f>
        <v>4290</v>
      </c>
    </row>
    <row r="38" customFormat="false" ht="19.5" hidden="false" customHeight="true" outlineLevel="0" collapsed="false">
      <c r="B38" s="13" t="s">
        <v>78</v>
      </c>
      <c r="C38" s="14"/>
      <c r="D38" s="14"/>
      <c r="E38" s="14"/>
      <c r="F38" s="14"/>
    </row>
    <row r="39" customFormat="false" ht="21.75" hidden="false" customHeight="true" outlineLevel="0" collapsed="false">
      <c r="B39" s="15" t="s">
        <v>79</v>
      </c>
      <c r="C39" s="25" t="n">
        <v>25</v>
      </c>
      <c r="F39" s="19" t="s">
        <v>80</v>
      </c>
    </row>
    <row r="40" customFormat="false" ht="21.75" hidden="false" customHeight="true" outlineLevel="0" collapsed="false">
      <c r="B40" s="15" t="s">
        <v>81</v>
      </c>
      <c r="C40" s="31" t="n">
        <f aca="false">IF(N(C17)=0,0,E36/C17)</f>
        <v>82.5</v>
      </c>
    </row>
    <row r="41" customFormat="false" ht="21.75" hidden="false" customHeight="true" outlineLevel="0" collapsed="false">
      <c r="B41" s="15" t="s">
        <v>82</v>
      </c>
      <c r="C41" s="35" t="str">
        <f aca="false">IF(E36&lt;=0,"-",IF(N(C39)=0,"Straight away",IF(C39/C40&lt;1,"Under a week",ROUND(C39/C40,0)&amp;" weeks")))</f>
        <v>Under a week</v>
      </c>
      <c r="D41" s="35"/>
    </row>
    <row r="43" customFormat="false" ht="19.5" hidden="false" customHeight="true" outlineLevel="0" collapsed="false">
      <c r="B43" s="13" t="s">
        <v>83</v>
      </c>
      <c r="C43" s="14"/>
      <c r="D43" s="14"/>
      <c r="E43" s="14"/>
      <c r="F43" s="14"/>
    </row>
    <row r="44" customFormat="false" ht="21.75" hidden="false" customHeight="true" outlineLevel="0" collapsed="false">
      <c r="B44" s="36" t="str">
        <f aca="false">IF(N(C13)=0,"Fill in the cream boxes and your sentence appears here.","I reduced "&amp;IF(C6="","the problem",C6)&amp;" from "&amp;C13&amp;" to "&amp;IF(D13="",N(C13),N(D13))&amp;" times a shift. That gives back about "&amp;TEXT(E30,"#,##0")&amp;" people hours a year and is worth roughly £"&amp;TEXT(E36,"#,##0")&amp;" a year"&amp;IF(N(C39)&gt;0,", for a fix that cost £"&amp;TEXT(C39,"#,##0"),"")&amp;".")</f>
        <v>I reduced Line 3 labeller jams at reel change from 4 to 1 times a shift. That gives back about 234 people hours a year and is worth roughly £4,290 a year, for a fix that cost £25.</v>
      </c>
      <c r="C44" s="36"/>
      <c r="D44" s="36"/>
      <c r="E44" s="36"/>
      <c r="F44" s="36"/>
    </row>
    <row r="45" customFormat="false" ht="21.75" hidden="false" customHeight="true" outlineLevel="0" collapsed="false">
      <c r="B45" s="36"/>
      <c r="C45" s="36"/>
      <c r="D45" s="36"/>
      <c r="E45" s="36"/>
      <c r="F45" s="36"/>
    </row>
    <row r="46" customFormat="false" ht="21.75" hidden="false" customHeight="true" outlineLevel="0" collapsed="false">
      <c r="B46" s="36"/>
      <c r="C46" s="36"/>
      <c r="D46" s="36"/>
      <c r="E46" s="36"/>
      <c r="F46" s="36"/>
    </row>
    <row r="48" customFormat="false" ht="15" hidden="false" customHeight="false" outlineLevel="0" collapsed="false">
      <c r="B48" s="12" t="s">
        <v>27</v>
      </c>
    </row>
  </sheetData>
  <sheetProtection sheet="true" formatCells="false" formatColumns="false" formatRows="false"/>
  <mergeCells count="8">
    <mergeCell ref="B1:F1"/>
    <mergeCell ref="B2:F2"/>
    <mergeCell ref="C6:E6"/>
    <mergeCell ref="C7:E7"/>
    <mergeCell ref="C8:E8"/>
    <mergeCell ref="C9:E9"/>
    <mergeCell ref="C41:D41"/>
    <mergeCell ref="B44:F46"/>
  </mergeCells>
  <dataValidations count="1">
    <dataValidation allowBlank="true" errorStyle="stop" operator="between" showDropDown="false" showErrorMessage="false" showInputMessage="false" sqref="C10" type="list">
      <formula1>"Downtime,Labour time,Waste,Lost sales,Safety,Quality,More than 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7"/>
    <col collapsed="false" customWidth="true" hidden="false" outlineLevel="0" max="6" min="6" style="0" width="44"/>
    <col collapsed="false" customWidth="true" hidden="false" outlineLevel="0" max="7" min="7" style="0" width="2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1"/>
    </row>
    <row r="2" customFormat="false" ht="19.5" hidden="false" customHeight="true" outlineLevel="0" collapsed="false">
      <c r="A2" s="1"/>
      <c r="B2" s="3" t="s">
        <v>28</v>
      </c>
      <c r="C2" s="3"/>
      <c r="D2" s="3"/>
      <c r="E2" s="3"/>
      <c r="F2" s="3"/>
      <c r="G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</row>
    <row r="5" customFormat="false" ht="19.5" hidden="false" customHeight="true" outlineLevel="0" collapsed="false">
      <c r="B5" s="13" t="s">
        <v>29</v>
      </c>
      <c r="C5" s="14"/>
      <c r="D5" s="14"/>
      <c r="E5" s="14"/>
      <c r="F5" s="14"/>
    </row>
    <row r="6" customFormat="false" ht="21.75" hidden="false" customHeight="true" outlineLevel="0" collapsed="false">
      <c r="B6" s="15" t="s">
        <v>30</v>
      </c>
      <c r="C6" s="16"/>
      <c r="D6" s="16"/>
      <c r="E6" s="16"/>
    </row>
    <row r="7" customFormat="false" ht="21.75" hidden="false" customHeight="true" outlineLevel="0" collapsed="false">
      <c r="B7" s="15" t="s">
        <v>33</v>
      </c>
      <c r="C7" s="16"/>
      <c r="D7" s="16"/>
      <c r="E7" s="16"/>
    </row>
    <row r="8" customFormat="false" ht="21.75" hidden="false" customHeight="true" outlineLevel="0" collapsed="false">
      <c r="B8" s="15" t="s">
        <v>35</v>
      </c>
      <c r="C8" s="16"/>
      <c r="D8" s="16"/>
      <c r="E8" s="16"/>
    </row>
    <row r="9" customFormat="false" ht="21.75" hidden="false" customHeight="true" outlineLevel="0" collapsed="false">
      <c r="B9" s="15" t="s">
        <v>37</v>
      </c>
      <c r="C9" s="16"/>
      <c r="D9" s="16"/>
      <c r="E9" s="16"/>
    </row>
    <row r="10" customFormat="false" ht="21.75" hidden="false" customHeight="true" outlineLevel="0" collapsed="false">
      <c r="B10" s="15" t="s">
        <v>39</v>
      </c>
      <c r="C10" s="18"/>
      <c r="F10" s="19" t="s">
        <v>41</v>
      </c>
    </row>
    <row r="12" customFormat="false" ht="19.5" hidden="false" customHeight="true" outlineLevel="0" collapsed="false">
      <c r="B12" s="13" t="s">
        <v>42</v>
      </c>
      <c r="C12" s="20" t="s">
        <v>43</v>
      </c>
      <c r="D12" s="20" t="s">
        <v>44</v>
      </c>
      <c r="E12" s="14"/>
      <c r="F12" s="14"/>
    </row>
    <row r="13" customFormat="false" ht="21.75" hidden="false" customHeight="true" outlineLevel="0" collapsed="false">
      <c r="B13" s="15" t="s">
        <v>45</v>
      </c>
      <c r="C13" s="21"/>
      <c r="D13" s="21"/>
      <c r="F13" s="19" t="s">
        <v>46</v>
      </c>
    </row>
    <row r="14" customFormat="false" ht="21.75" hidden="false" customHeight="true" outlineLevel="0" collapsed="false">
      <c r="B14" s="15" t="s">
        <v>47</v>
      </c>
      <c r="C14" s="21"/>
      <c r="D14" s="21"/>
      <c r="F14" s="19" t="s">
        <v>48</v>
      </c>
    </row>
    <row r="15" customFormat="false" ht="21.75" hidden="false" customHeight="true" outlineLevel="0" collapsed="false">
      <c r="B15" s="15" t="s">
        <v>49</v>
      </c>
      <c r="C15" s="21"/>
      <c r="D15" s="21"/>
      <c r="F15" s="19" t="s">
        <v>50</v>
      </c>
    </row>
    <row r="16" customFormat="false" ht="21.75" hidden="false" customHeight="true" outlineLevel="0" collapsed="false">
      <c r="B16" s="15" t="s">
        <v>51</v>
      </c>
      <c r="C16" s="22" t="n">
        <v>15</v>
      </c>
      <c r="D16" s="23" t="n">
        <f aca="false">C16</f>
        <v>15</v>
      </c>
      <c r="F16" s="19" t="s">
        <v>52</v>
      </c>
    </row>
    <row r="17" customFormat="false" ht="21.75" hidden="false" customHeight="true" outlineLevel="0" collapsed="false">
      <c r="B17" s="15" t="s">
        <v>53</v>
      </c>
      <c r="C17" s="22" t="n">
        <v>52</v>
      </c>
      <c r="D17" s="23" t="n">
        <f aca="false">C17</f>
        <v>52</v>
      </c>
      <c r="F17" s="19" t="s">
        <v>54</v>
      </c>
    </row>
    <row r="19" customFormat="false" ht="19.5" hidden="false" customHeight="true" outlineLevel="0" collapsed="false">
      <c r="B19" s="13" t="s">
        <v>55</v>
      </c>
      <c r="C19" s="14"/>
      <c r="D19" s="14"/>
      <c r="E19" s="14"/>
      <c r="F19" s="14"/>
    </row>
    <row r="20" customFormat="false" ht="21.75" hidden="false" customHeight="true" outlineLevel="0" collapsed="false">
      <c r="B20" s="15" t="s">
        <v>56</v>
      </c>
      <c r="C20" s="24"/>
      <c r="F20" s="19" t="s">
        <v>57</v>
      </c>
    </row>
    <row r="21" customFormat="false" ht="21.75" hidden="false" customHeight="true" outlineLevel="0" collapsed="false">
      <c r="B21" s="15" t="s">
        <v>58</v>
      </c>
      <c r="C21" s="25"/>
      <c r="F21" s="19" t="s">
        <v>59</v>
      </c>
    </row>
    <row r="23" customFormat="false" ht="19.5" hidden="false" customHeight="true" outlineLevel="0" collapsed="false">
      <c r="B23" s="13" t="s">
        <v>60</v>
      </c>
      <c r="C23" s="20" t="s">
        <v>43</v>
      </c>
      <c r="D23" s="20" t="s">
        <v>44</v>
      </c>
      <c r="E23" s="14"/>
      <c r="F23" s="14"/>
    </row>
    <row r="24" customFormat="false" ht="21.75" hidden="false" customHeight="true" outlineLevel="0" collapsed="false">
      <c r="B24" s="15" t="s">
        <v>61</v>
      </c>
      <c r="C24" s="22"/>
      <c r="D24" s="22"/>
      <c r="F24" s="19" t="s">
        <v>62</v>
      </c>
    </row>
    <row r="25" customFormat="false" ht="21.75" hidden="false" customHeight="true" outlineLevel="0" collapsed="false">
      <c r="B25" s="15" t="s">
        <v>63</v>
      </c>
      <c r="C25" s="24"/>
      <c r="D25" s="26" t="n">
        <f aca="false">C25</f>
        <v>0</v>
      </c>
    </row>
    <row r="26" customFormat="false" ht="21.75" hidden="false" customHeight="true" outlineLevel="0" collapsed="false">
      <c r="B26" s="15" t="s">
        <v>64</v>
      </c>
      <c r="C26" s="25"/>
      <c r="D26" s="25"/>
      <c r="F26" s="19" t="s">
        <v>65</v>
      </c>
    </row>
    <row r="27" customFormat="false" ht="21.75" hidden="false" customHeight="true" outlineLevel="0" collapsed="false">
      <c r="B27" s="15" t="s">
        <v>66</v>
      </c>
      <c r="C27" s="27"/>
      <c r="D27" s="28" t="n">
        <f aca="false">C27</f>
        <v>0</v>
      </c>
      <c r="F27" s="19" t="s">
        <v>67</v>
      </c>
    </row>
    <row r="29" customFormat="false" ht="19.5" hidden="false" customHeight="true" outlineLevel="0" collapsed="false">
      <c r="B29" s="13" t="s">
        <v>68</v>
      </c>
      <c r="C29" s="20" t="s">
        <v>43</v>
      </c>
      <c r="D29" s="20" t="s">
        <v>44</v>
      </c>
      <c r="E29" s="20" t="s">
        <v>69</v>
      </c>
      <c r="F29" s="14"/>
    </row>
    <row r="30" customFormat="false" ht="21.75" hidden="false" customHeight="true" outlineLevel="0" collapsed="false">
      <c r="B30" s="15" t="s">
        <v>70</v>
      </c>
      <c r="C30" s="23" t="n">
        <f aca="false">N(C13)*N(C14)*N(C15)*N(C16)*N(C17)/60</f>
        <v>0</v>
      </c>
      <c r="D30" s="23" t="n">
        <f aca="false">IF(D13="",N(C13),N(D13))*IF(D14="",N(C14),N(D14))*IF(D15="",N(C15),N(D15))*N(D16)*N(D17)/60</f>
        <v>0</v>
      </c>
      <c r="E30" s="29" t="n">
        <f aca="false">C30-D30</f>
        <v>0</v>
      </c>
    </row>
    <row r="31" customFormat="false" ht="21.75" hidden="false" customHeight="true" outlineLevel="0" collapsed="false">
      <c r="B31" s="15" t="s">
        <v>71</v>
      </c>
      <c r="C31" s="23" t="n">
        <f aca="false">IF(N(C21)=0,0,N(C13)*N(C14)*N(C16)*N(C17)/60)</f>
        <v>0</v>
      </c>
      <c r="D31" s="23" t="n">
        <f aca="false">IF(N(C21)=0,0,IF(D13="",N(C13),N(D13))*IF(D14="",N(C14),N(D14))*N(D16)*N(D17)/60)</f>
        <v>0</v>
      </c>
      <c r="E31" s="29" t="n">
        <f aca="false">C31-D31</f>
        <v>0</v>
      </c>
      <c r="F31" s="30" t="s">
        <v>72</v>
      </c>
    </row>
    <row r="32" customFormat="false" ht="21.75" hidden="false" customHeight="true" outlineLevel="0" collapsed="false">
      <c r="B32" s="15" t="s">
        <v>73</v>
      </c>
      <c r="C32" s="31" t="n">
        <f aca="false">C30*N(C20)</f>
        <v>0</v>
      </c>
      <c r="D32" s="31" t="n">
        <f aca="false">D30*N(C20)</f>
        <v>0</v>
      </c>
      <c r="E32" s="32" t="n">
        <f aca="false">C32-D32</f>
        <v>0</v>
      </c>
    </row>
    <row r="33" customFormat="false" ht="21.75" hidden="false" customHeight="true" outlineLevel="0" collapsed="false">
      <c r="B33" s="15" t="s">
        <v>74</v>
      </c>
      <c r="C33" s="31" t="n">
        <f aca="false">C31*N(C21)</f>
        <v>0</v>
      </c>
      <c r="D33" s="31" t="n">
        <f aca="false">D31*N(C21)</f>
        <v>0</v>
      </c>
      <c r="E33" s="32" t="n">
        <f aca="false">C33-D33</f>
        <v>0</v>
      </c>
    </row>
    <row r="34" customFormat="false" ht="21.75" hidden="false" customHeight="true" outlineLevel="0" collapsed="false">
      <c r="B34" s="15" t="s">
        <v>75</v>
      </c>
      <c r="C34" s="31" t="n">
        <f aca="false">N(C24)*N(C25)*N(C17)</f>
        <v>0</v>
      </c>
      <c r="D34" s="31" t="n">
        <f aca="false">IF(D24="",N(C24),N(D24))*N(C25)*N(C17)</f>
        <v>0</v>
      </c>
      <c r="E34" s="32" t="n">
        <f aca="false">C34-D34</f>
        <v>0</v>
      </c>
    </row>
    <row r="35" customFormat="false" ht="21.75" hidden="false" customHeight="true" outlineLevel="0" collapsed="false">
      <c r="B35" s="15" t="s">
        <v>76</v>
      </c>
      <c r="C35" s="31" t="n">
        <f aca="false">N(C26)*N(C27)/100*N(C17)</f>
        <v>0</v>
      </c>
      <c r="D35" s="31" t="n">
        <f aca="false">IF(D26="",N(C26),N(D26))*N(C27)/100*N(C17)</f>
        <v>0</v>
      </c>
      <c r="E35" s="32" t="n">
        <f aca="false">C35-D35</f>
        <v>0</v>
      </c>
    </row>
    <row r="36" customFormat="false" ht="25.5" hidden="false" customHeight="true" outlineLevel="0" collapsed="false">
      <c r="B36" s="33" t="s">
        <v>77</v>
      </c>
      <c r="C36" s="32" t="n">
        <f aca="false">SUM(C32:C35)</f>
        <v>0</v>
      </c>
      <c r="D36" s="32" t="n">
        <f aca="false">SUM(D32:D35)</f>
        <v>0</v>
      </c>
      <c r="E36" s="34" t="n">
        <f aca="false">C36-D36</f>
        <v>0</v>
      </c>
    </row>
    <row r="38" customFormat="false" ht="19.5" hidden="false" customHeight="true" outlineLevel="0" collapsed="false">
      <c r="B38" s="13" t="s">
        <v>78</v>
      </c>
      <c r="C38" s="14"/>
      <c r="D38" s="14"/>
      <c r="E38" s="14"/>
      <c r="F38" s="14"/>
    </row>
    <row r="39" customFormat="false" ht="21.75" hidden="false" customHeight="true" outlineLevel="0" collapsed="false">
      <c r="B39" s="15" t="s">
        <v>79</v>
      </c>
      <c r="C39" s="25"/>
      <c r="F39" s="19" t="s">
        <v>80</v>
      </c>
    </row>
    <row r="40" customFormat="false" ht="21.75" hidden="false" customHeight="true" outlineLevel="0" collapsed="false">
      <c r="B40" s="15" t="s">
        <v>81</v>
      </c>
      <c r="C40" s="31" t="n">
        <f aca="false">IF(N(C17)=0,0,E36/C17)</f>
        <v>0</v>
      </c>
    </row>
    <row r="41" customFormat="false" ht="21.75" hidden="false" customHeight="true" outlineLevel="0" collapsed="false">
      <c r="B41" s="15" t="s">
        <v>82</v>
      </c>
      <c r="C41" s="35" t="str">
        <f aca="false">IF(E36&lt;=0,"-",IF(N(C39)=0,"Straight away",IF(C39/C40&lt;1,"Under a week",ROUND(C39/C40,0)&amp;" weeks")))</f>
        <v>-</v>
      </c>
      <c r="D41" s="35"/>
    </row>
    <row r="43" customFormat="false" ht="19.5" hidden="false" customHeight="true" outlineLevel="0" collapsed="false">
      <c r="B43" s="13" t="s">
        <v>83</v>
      </c>
      <c r="C43" s="14"/>
      <c r="D43" s="14"/>
      <c r="E43" s="14"/>
      <c r="F43" s="14"/>
    </row>
    <row r="44" customFormat="false" ht="21.75" hidden="false" customHeight="true" outlineLevel="0" collapsed="false">
      <c r="B44" s="36" t="str">
        <f aca="false">IF(N(C13)=0,"Fill in the cream boxes and your sentence appears here.","I reduced "&amp;IF(C6="","the problem",C6)&amp;" from "&amp;C13&amp;" to "&amp;IF(D13="",N(C13),N(D13))&amp;" times a shift. That gives back about "&amp;TEXT(E30,"#,##0")&amp;" people hours a year and is worth roughly £"&amp;TEXT(E36,"#,##0")&amp;" a year"&amp;IF(N(C39)&gt;0,", for a fix that cost £"&amp;TEXT(C39,"#,##0"),"")&amp;".")</f>
        <v>Fill in the cream boxes and your sentence appears here.</v>
      </c>
      <c r="C44" s="36"/>
      <c r="D44" s="36"/>
      <c r="E44" s="36"/>
      <c r="F44" s="36"/>
    </row>
    <row r="45" customFormat="false" ht="21.75" hidden="false" customHeight="true" outlineLevel="0" collapsed="false">
      <c r="B45" s="36"/>
      <c r="C45" s="36"/>
      <c r="D45" s="36"/>
      <c r="E45" s="36"/>
      <c r="F45" s="36"/>
    </row>
    <row r="46" customFormat="false" ht="21.75" hidden="false" customHeight="true" outlineLevel="0" collapsed="false">
      <c r="B46" s="36"/>
      <c r="C46" s="36"/>
      <c r="D46" s="36"/>
      <c r="E46" s="36"/>
      <c r="F46" s="36"/>
    </row>
    <row r="48" customFormat="false" ht="15" hidden="false" customHeight="false" outlineLevel="0" collapsed="false">
      <c r="B48" s="12" t="s">
        <v>27</v>
      </c>
    </row>
  </sheetData>
  <sheetProtection sheet="true" formatCells="false" formatColumns="false" formatRows="false"/>
  <mergeCells count="8">
    <mergeCell ref="B1:F1"/>
    <mergeCell ref="B2:F2"/>
    <mergeCell ref="C6:E6"/>
    <mergeCell ref="C7:E7"/>
    <mergeCell ref="C8:E8"/>
    <mergeCell ref="C9:E9"/>
    <mergeCell ref="C41:D41"/>
    <mergeCell ref="B44:F46"/>
  </mergeCells>
  <dataValidations count="1">
    <dataValidation allowBlank="true" errorStyle="stop" operator="between" showDropDown="false" showErrorMessage="false" showInputMessage="false" sqref="C10" type="list">
      <formula1>"Downtime,Labour time,Waste,Lost sales,Safety,Quality,More than 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33.75" hidden="false" customHeight="true" outlineLevel="0" collapsed="false">
      <c r="A1" s="1"/>
      <c r="B1" s="2" t="s">
        <v>84</v>
      </c>
      <c r="C1" s="2"/>
      <c r="D1" s="2"/>
      <c r="E1" s="2"/>
      <c r="F1" s="2"/>
      <c r="G1" s="2"/>
      <c r="H1" s="2"/>
      <c r="I1" s="1"/>
    </row>
    <row r="2" customFormat="false" ht="15" hidden="false" customHeight="false" outlineLevel="0" collapsed="false">
      <c r="A2" s="1"/>
      <c r="B2" s="37" t="s">
        <v>85</v>
      </c>
      <c r="C2" s="37"/>
      <c r="D2" s="37"/>
      <c r="E2" s="37"/>
      <c r="F2" s="37"/>
      <c r="G2" s="37"/>
      <c r="H2" s="37"/>
      <c r="I2" s="1"/>
    </row>
    <row r="3" customFormat="false" ht="3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5" customFormat="false" ht="15" hidden="false" customHeight="false" outlineLevel="0" collapsed="false">
      <c r="B5" s="7" t="s">
        <v>86</v>
      </c>
      <c r="D5" s="38" t="s">
        <v>87</v>
      </c>
      <c r="E5" s="39" t="n">
        <f aca="false">COUNTA(C9:C58)</f>
        <v>1</v>
      </c>
      <c r="F5" s="40" t="n">
        <f aca="false">SUM(F9:F58)</f>
        <v>4290</v>
      </c>
      <c r="G5" s="38" t="s">
        <v>88</v>
      </c>
    </row>
    <row r="6" customFormat="false" ht="15" hidden="false" customHeight="false" outlineLevel="0" collapsed="false">
      <c r="D6" s="38" t="s">
        <v>89</v>
      </c>
      <c r="E6" s="39" t="n">
        <f aca="false">SUM(E9:E58)</f>
        <v>234</v>
      </c>
    </row>
    <row r="8" customFormat="false" ht="27.75" hidden="false" customHeight="true" outlineLevel="0" collapsed="false">
      <c r="B8" s="41" t="s">
        <v>90</v>
      </c>
      <c r="C8" s="41" t="s">
        <v>91</v>
      </c>
      <c r="D8" s="41" t="s">
        <v>92</v>
      </c>
      <c r="E8" s="41" t="s">
        <v>93</v>
      </c>
      <c r="F8" s="41" t="s">
        <v>94</v>
      </c>
      <c r="G8" s="41" t="s">
        <v>95</v>
      </c>
      <c r="H8" s="41" t="s">
        <v>96</v>
      </c>
    </row>
    <row r="9" customFormat="false" ht="18" hidden="false" customHeight="true" outlineLevel="0" collapsed="false">
      <c r="B9" s="42" t="s">
        <v>38</v>
      </c>
      <c r="C9" s="43" t="s">
        <v>31</v>
      </c>
      <c r="D9" s="43" t="s">
        <v>97</v>
      </c>
      <c r="E9" s="44" t="n">
        <v>234</v>
      </c>
      <c r="F9" s="45" t="n">
        <v>4290</v>
      </c>
      <c r="G9" s="42" t="s">
        <v>98</v>
      </c>
      <c r="H9" s="42" t="s">
        <v>99</v>
      </c>
      <c r="I9" s="30" t="s">
        <v>100</v>
      </c>
    </row>
    <row r="10" customFormat="false" ht="18" hidden="false" customHeight="true" outlineLevel="0" collapsed="false">
      <c r="B10" s="46"/>
      <c r="C10" s="47"/>
      <c r="D10" s="47"/>
      <c r="E10" s="48"/>
      <c r="F10" s="49"/>
      <c r="G10" s="46"/>
      <c r="H10" s="46"/>
    </row>
    <row r="11" customFormat="false" ht="18" hidden="false" customHeight="true" outlineLevel="0" collapsed="false">
      <c r="B11" s="46"/>
      <c r="C11" s="47"/>
      <c r="D11" s="47"/>
      <c r="E11" s="48"/>
      <c r="F11" s="49"/>
      <c r="G11" s="46"/>
      <c r="H11" s="46"/>
    </row>
    <row r="12" customFormat="false" ht="18" hidden="false" customHeight="true" outlineLevel="0" collapsed="false">
      <c r="B12" s="46"/>
      <c r="C12" s="47"/>
      <c r="D12" s="47"/>
      <c r="E12" s="48"/>
      <c r="F12" s="49"/>
      <c r="G12" s="46"/>
      <c r="H12" s="46"/>
    </row>
    <row r="13" customFormat="false" ht="18" hidden="false" customHeight="true" outlineLevel="0" collapsed="false">
      <c r="B13" s="46"/>
      <c r="C13" s="47"/>
      <c r="D13" s="47"/>
      <c r="E13" s="48"/>
      <c r="F13" s="49"/>
      <c r="G13" s="46"/>
      <c r="H13" s="46"/>
    </row>
    <row r="14" customFormat="false" ht="18" hidden="false" customHeight="true" outlineLevel="0" collapsed="false">
      <c r="B14" s="46"/>
      <c r="C14" s="47"/>
      <c r="D14" s="47"/>
      <c r="E14" s="48"/>
      <c r="F14" s="49"/>
      <c r="G14" s="46"/>
      <c r="H14" s="46"/>
    </row>
    <row r="15" customFormat="false" ht="18" hidden="false" customHeight="true" outlineLevel="0" collapsed="false">
      <c r="B15" s="46"/>
      <c r="C15" s="47"/>
      <c r="D15" s="47"/>
      <c r="E15" s="48"/>
      <c r="F15" s="49"/>
      <c r="G15" s="46"/>
      <c r="H15" s="46"/>
    </row>
    <row r="16" customFormat="false" ht="18" hidden="false" customHeight="true" outlineLevel="0" collapsed="false">
      <c r="B16" s="46"/>
      <c r="C16" s="47"/>
      <c r="D16" s="47"/>
      <c r="E16" s="48"/>
      <c r="F16" s="49"/>
      <c r="G16" s="46"/>
      <c r="H16" s="46"/>
    </row>
    <row r="17" customFormat="false" ht="18" hidden="false" customHeight="true" outlineLevel="0" collapsed="false">
      <c r="B17" s="46"/>
      <c r="C17" s="47"/>
      <c r="D17" s="47"/>
      <c r="E17" s="48"/>
      <c r="F17" s="49"/>
      <c r="G17" s="46"/>
      <c r="H17" s="46"/>
    </row>
    <row r="18" customFormat="false" ht="18" hidden="false" customHeight="true" outlineLevel="0" collapsed="false">
      <c r="B18" s="46"/>
      <c r="C18" s="47"/>
      <c r="D18" s="47"/>
      <c r="E18" s="48"/>
      <c r="F18" s="49"/>
      <c r="G18" s="46"/>
      <c r="H18" s="46"/>
    </row>
    <row r="19" customFormat="false" ht="18" hidden="false" customHeight="true" outlineLevel="0" collapsed="false">
      <c r="B19" s="46"/>
      <c r="C19" s="47"/>
      <c r="D19" s="47"/>
      <c r="E19" s="48"/>
      <c r="F19" s="49"/>
      <c r="G19" s="46"/>
      <c r="H19" s="46"/>
    </row>
    <row r="20" customFormat="false" ht="18" hidden="false" customHeight="true" outlineLevel="0" collapsed="false">
      <c r="B20" s="46"/>
      <c r="C20" s="47"/>
      <c r="D20" s="47"/>
      <c r="E20" s="48"/>
      <c r="F20" s="49"/>
      <c r="G20" s="46"/>
      <c r="H20" s="46"/>
    </row>
    <row r="21" customFormat="false" ht="18" hidden="false" customHeight="true" outlineLevel="0" collapsed="false">
      <c r="B21" s="46"/>
      <c r="C21" s="47"/>
      <c r="D21" s="47"/>
      <c r="E21" s="48"/>
      <c r="F21" s="49"/>
      <c r="G21" s="46"/>
      <c r="H21" s="46"/>
    </row>
    <row r="22" customFormat="false" ht="18" hidden="false" customHeight="true" outlineLevel="0" collapsed="false">
      <c r="B22" s="46"/>
      <c r="C22" s="47"/>
      <c r="D22" s="47"/>
      <c r="E22" s="48"/>
      <c r="F22" s="49"/>
      <c r="G22" s="46"/>
      <c r="H22" s="46"/>
    </row>
    <row r="23" customFormat="false" ht="18" hidden="false" customHeight="true" outlineLevel="0" collapsed="false">
      <c r="B23" s="46"/>
      <c r="C23" s="47"/>
      <c r="D23" s="47"/>
      <c r="E23" s="48"/>
      <c r="F23" s="49"/>
      <c r="G23" s="46"/>
      <c r="H23" s="46"/>
    </row>
    <row r="24" customFormat="false" ht="18" hidden="false" customHeight="true" outlineLevel="0" collapsed="false">
      <c r="B24" s="46"/>
      <c r="C24" s="47"/>
      <c r="D24" s="47"/>
      <c r="E24" s="48"/>
      <c r="F24" s="49"/>
      <c r="G24" s="46"/>
      <c r="H24" s="46"/>
    </row>
    <row r="25" customFormat="false" ht="18" hidden="false" customHeight="true" outlineLevel="0" collapsed="false">
      <c r="B25" s="46"/>
      <c r="C25" s="47"/>
      <c r="D25" s="47"/>
      <c r="E25" s="48"/>
      <c r="F25" s="49"/>
      <c r="G25" s="46"/>
      <c r="H25" s="46"/>
    </row>
    <row r="26" customFormat="false" ht="18" hidden="false" customHeight="true" outlineLevel="0" collapsed="false">
      <c r="B26" s="46"/>
      <c r="C26" s="47"/>
      <c r="D26" s="47"/>
      <c r="E26" s="48"/>
      <c r="F26" s="49"/>
      <c r="G26" s="46"/>
      <c r="H26" s="46"/>
    </row>
    <row r="27" customFormat="false" ht="18" hidden="false" customHeight="true" outlineLevel="0" collapsed="false">
      <c r="B27" s="46"/>
      <c r="C27" s="47"/>
      <c r="D27" s="47"/>
      <c r="E27" s="48"/>
      <c r="F27" s="49"/>
      <c r="G27" s="46"/>
      <c r="H27" s="46"/>
    </row>
    <row r="28" customFormat="false" ht="18" hidden="false" customHeight="true" outlineLevel="0" collapsed="false">
      <c r="B28" s="46"/>
      <c r="C28" s="47"/>
      <c r="D28" s="47"/>
      <c r="E28" s="48"/>
      <c r="F28" s="49"/>
      <c r="G28" s="46"/>
      <c r="H28" s="46"/>
    </row>
    <row r="29" customFormat="false" ht="18" hidden="false" customHeight="true" outlineLevel="0" collapsed="false">
      <c r="B29" s="46"/>
      <c r="C29" s="47"/>
      <c r="D29" s="47"/>
      <c r="E29" s="48"/>
      <c r="F29" s="49"/>
      <c r="G29" s="46"/>
      <c r="H29" s="46"/>
    </row>
    <row r="30" customFormat="false" ht="18" hidden="false" customHeight="true" outlineLevel="0" collapsed="false">
      <c r="B30" s="46"/>
      <c r="C30" s="47"/>
      <c r="D30" s="47"/>
      <c r="E30" s="48"/>
      <c r="F30" s="49"/>
      <c r="G30" s="46"/>
      <c r="H30" s="46"/>
    </row>
    <row r="31" customFormat="false" ht="18" hidden="false" customHeight="true" outlineLevel="0" collapsed="false">
      <c r="B31" s="46"/>
      <c r="C31" s="47"/>
      <c r="D31" s="47"/>
      <c r="E31" s="48"/>
      <c r="F31" s="49"/>
      <c r="G31" s="46"/>
      <c r="H31" s="46"/>
    </row>
    <row r="32" customFormat="false" ht="18" hidden="false" customHeight="true" outlineLevel="0" collapsed="false">
      <c r="B32" s="46"/>
      <c r="C32" s="47"/>
      <c r="D32" s="47"/>
      <c r="E32" s="48"/>
      <c r="F32" s="49"/>
      <c r="G32" s="46"/>
      <c r="H32" s="46"/>
    </row>
    <row r="33" customFormat="false" ht="18" hidden="false" customHeight="true" outlineLevel="0" collapsed="false">
      <c r="B33" s="46"/>
      <c r="C33" s="47"/>
      <c r="D33" s="47"/>
      <c r="E33" s="48"/>
      <c r="F33" s="49"/>
      <c r="G33" s="46"/>
      <c r="H33" s="46"/>
    </row>
    <row r="34" customFormat="false" ht="18" hidden="false" customHeight="true" outlineLevel="0" collapsed="false">
      <c r="B34" s="46"/>
      <c r="C34" s="47"/>
      <c r="D34" s="47"/>
      <c r="E34" s="48"/>
      <c r="F34" s="49"/>
      <c r="G34" s="46"/>
      <c r="H34" s="46"/>
    </row>
    <row r="35" customFormat="false" ht="18" hidden="false" customHeight="true" outlineLevel="0" collapsed="false">
      <c r="B35" s="46"/>
      <c r="C35" s="47"/>
      <c r="D35" s="47"/>
      <c r="E35" s="48"/>
      <c r="F35" s="49"/>
      <c r="G35" s="46"/>
      <c r="H35" s="46"/>
    </row>
    <row r="36" customFormat="false" ht="18" hidden="false" customHeight="true" outlineLevel="0" collapsed="false">
      <c r="B36" s="46"/>
      <c r="C36" s="47"/>
      <c r="D36" s="47"/>
      <c r="E36" s="48"/>
      <c r="F36" s="49"/>
      <c r="G36" s="46"/>
      <c r="H36" s="46"/>
    </row>
    <row r="37" customFormat="false" ht="18" hidden="false" customHeight="true" outlineLevel="0" collapsed="false">
      <c r="B37" s="46"/>
      <c r="C37" s="47"/>
      <c r="D37" s="47"/>
      <c r="E37" s="48"/>
      <c r="F37" s="49"/>
      <c r="G37" s="46"/>
      <c r="H37" s="46"/>
    </row>
    <row r="38" customFormat="false" ht="18" hidden="false" customHeight="true" outlineLevel="0" collapsed="false">
      <c r="B38" s="46"/>
      <c r="C38" s="47"/>
      <c r="D38" s="47"/>
      <c r="E38" s="48"/>
      <c r="F38" s="49"/>
      <c r="G38" s="46"/>
      <c r="H38" s="46"/>
    </row>
    <row r="39" customFormat="false" ht="18" hidden="false" customHeight="true" outlineLevel="0" collapsed="false">
      <c r="B39" s="46"/>
      <c r="C39" s="47"/>
      <c r="D39" s="47"/>
      <c r="E39" s="48"/>
      <c r="F39" s="49"/>
      <c r="G39" s="46"/>
      <c r="H39" s="46"/>
    </row>
    <row r="40" customFormat="false" ht="18" hidden="false" customHeight="true" outlineLevel="0" collapsed="false">
      <c r="B40" s="46"/>
      <c r="C40" s="47"/>
      <c r="D40" s="47"/>
      <c r="E40" s="48"/>
      <c r="F40" s="49"/>
      <c r="G40" s="46"/>
      <c r="H40" s="46"/>
    </row>
    <row r="41" customFormat="false" ht="18" hidden="false" customHeight="true" outlineLevel="0" collapsed="false">
      <c r="B41" s="46"/>
      <c r="C41" s="47"/>
      <c r="D41" s="47"/>
      <c r="E41" s="48"/>
      <c r="F41" s="49"/>
      <c r="G41" s="46"/>
      <c r="H41" s="46"/>
    </row>
    <row r="42" customFormat="false" ht="18" hidden="false" customHeight="true" outlineLevel="0" collapsed="false">
      <c r="B42" s="46"/>
      <c r="C42" s="47"/>
      <c r="D42" s="47"/>
      <c r="E42" s="48"/>
      <c r="F42" s="49"/>
      <c r="G42" s="46"/>
      <c r="H42" s="46"/>
    </row>
    <row r="43" customFormat="false" ht="18" hidden="false" customHeight="true" outlineLevel="0" collapsed="false">
      <c r="B43" s="46"/>
      <c r="C43" s="47"/>
      <c r="D43" s="47"/>
      <c r="E43" s="48"/>
      <c r="F43" s="49"/>
      <c r="G43" s="46"/>
      <c r="H43" s="46"/>
    </row>
    <row r="44" customFormat="false" ht="18" hidden="false" customHeight="true" outlineLevel="0" collapsed="false">
      <c r="B44" s="46"/>
      <c r="C44" s="47"/>
      <c r="D44" s="47"/>
      <c r="E44" s="48"/>
      <c r="F44" s="49"/>
      <c r="G44" s="46"/>
      <c r="H44" s="46"/>
    </row>
    <row r="45" customFormat="false" ht="18" hidden="false" customHeight="true" outlineLevel="0" collapsed="false">
      <c r="B45" s="46"/>
      <c r="C45" s="47"/>
      <c r="D45" s="47"/>
      <c r="E45" s="48"/>
      <c r="F45" s="49"/>
      <c r="G45" s="46"/>
      <c r="H45" s="46"/>
    </row>
    <row r="46" customFormat="false" ht="18" hidden="false" customHeight="true" outlineLevel="0" collapsed="false">
      <c r="B46" s="46"/>
      <c r="C46" s="47"/>
      <c r="D46" s="47"/>
      <c r="E46" s="48"/>
      <c r="F46" s="49"/>
      <c r="G46" s="46"/>
      <c r="H46" s="46"/>
    </row>
    <row r="47" customFormat="false" ht="18" hidden="false" customHeight="true" outlineLevel="0" collapsed="false">
      <c r="B47" s="46"/>
      <c r="C47" s="47"/>
      <c r="D47" s="47"/>
      <c r="E47" s="48"/>
      <c r="F47" s="49"/>
      <c r="G47" s="46"/>
      <c r="H47" s="46"/>
    </row>
    <row r="48" customFormat="false" ht="18" hidden="false" customHeight="true" outlineLevel="0" collapsed="false">
      <c r="B48" s="46"/>
      <c r="C48" s="47"/>
      <c r="D48" s="47"/>
      <c r="E48" s="48"/>
      <c r="F48" s="49"/>
      <c r="G48" s="46"/>
      <c r="H48" s="46"/>
    </row>
    <row r="49" customFormat="false" ht="18" hidden="false" customHeight="true" outlineLevel="0" collapsed="false">
      <c r="B49" s="46"/>
      <c r="C49" s="47"/>
      <c r="D49" s="47"/>
      <c r="E49" s="48"/>
      <c r="F49" s="49"/>
      <c r="G49" s="46"/>
      <c r="H49" s="46"/>
    </row>
    <row r="50" customFormat="false" ht="18" hidden="false" customHeight="true" outlineLevel="0" collapsed="false">
      <c r="B50" s="46"/>
      <c r="C50" s="47"/>
      <c r="D50" s="47"/>
      <c r="E50" s="48"/>
      <c r="F50" s="49"/>
      <c r="G50" s="46"/>
      <c r="H50" s="46"/>
    </row>
    <row r="51" customFormat="false" ht="18" hidden="false" customHeight="true" outlineLevel="0" collapsed="false">
      <c r="B51" s="46"/>
      <c r="C51" s="47"/>
      <c r="D51" s="47"/>
      <c r="E51" s="48"/>
      <c r="F51" s="49"/>
      <c r="G51" s="46"/>
      <c r="H51" s="46"/>
    </row>
    <row r="52" customFormat="false" ht="18" hidden="false" customHeight="true" outlineLevel="0" collapsed="false">
      <c r="B52" s="46"/>
      <c r="C52" s="47"/>
      <c r="D52" s="47"/>
      <c r="E52" s="48"/>
      <c r="F52" s="49"/>
      <c r="G52" s="46"/>
      <c r="H52" s="46"/>
    </row>
    <row r="53" customFormat="false" ht="18" hidden="false" customHeight="true" outlineLevel="0" collapsed="false">
      <c r="B53" s="46"/>
      <c r="C53" s="47"/>
      <c r="D53" s="47"/>
      <c r="E53" s="48"/>
      <c r="F53" s="49"/>
      <c r="G53" s="46"/>
      <c r="H53" s="46"/>
    </row>
    <row r="54" customFormat="false" ht="18" hidden="false" customHeight="true" outlineLevel="0" collapsed="false">
      <c r="B54" s="46"/>
      <c r="C54" s="47"/>
      <c r="D54" s="47"/>
      <c r="E54" s="48"/>
      <c r="F54" s="49"/>
      <c r="G54" s="46"/>
      <c r="H54" s="46"/>
    </row>
    <row r="55" customFormat="false" ht="18" hidden="false" customHeight="true" outlineLevel="0" collapsed="false">
      <c r="B55" s="46"/>
      <c r="C55" s="47"/>
      <c r="D55" s="47"/>
      <c r="E55" s="48"/>
      <c r="F55" s="49"/>
      <c r="G55" s="46"/>
      <c r="H55" s="46"/>
    </row>
    <row r="56" customFormat="false" ht="18" hidden="false" customHeight="true" outlineLevel="0" collapsed="false">
      <c r="B56" s="46"/>
      <c r="C56" s="47"/>
      <c r="D56" s="47"/>
      <c r="E56" s="48"/>
      <c r="F56" s="49"/>
      <c r="G56" s="46"/>
      <c r="H56" s="46"/>
    </row>
    <row r="57" customFormat="false" ht="18" hidden="false" customHeight="true" outlineLevel="0" collapsed="false">
      <c r="B57" s="46"/>
      <c r="C57" s="47"/>
      <c r="D57" s="47"/>
      <c r="E57" s="48"/>
      <c r="F57" s="49"/>
      <c r="G57" s="46"/>
      <c r="H57" s="46"/>
    </row>
    <row r="58" customFormat="false" ht="18" hidden="false" customHeight="true" outlineLevel="0" collapsed="false">
      <c r="B58" s="46"/>
      <c r="C58" s="47"/>
      <c r="D58" s="47"/>
      <c r="E58" s="48"/>
      <c r="F58" s="49"/>
      <c r="G58" s="46"/>
      <c r="H58" s="46"/>
    </row>
  </sheetData>
  <mergeCells count="2">
    <mergeCell ref="B1:H1"/>
    <mergeCell ref="B2:H2"/>
  </mergeCells>
  <dataValidations count="2">
    <dataValidation allowBlank="true" errorStyle="stop" operator="between" showDropDown="false" showErrorMessage="false" showInputMessage="false" sqref="G9:G58" type="list">
      <formula1>"Line leader,Manager,Line leader and manager,Wider team,Nobody yet"</formula1>
      <formula2>0</formula2>
    </dataValidation>
    <dataValidation allowBlank="true" errorStyle="stop" operator="between" showDropDown="false" showErrorMessage="false" showInputMessage="false" sqref="H9:H58" type="list">
      <formula1>"Costed only,Fix in progress,Fixed,Fixed and checked"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2026-10-27T00:11:16Z</dcterms:created>
  <dc:creator>Kaizen XP</dc:creator>
  <dc:description/>
  <dc:language>en-US</dc:language>
  <cp:lastModifiedBy/>
  <dcterms:modified xsi:type="dcterms:W3CDTF">2026-10-27T00:11:16Z</dcterms:modified>
  <cp:revision>0</cp:revision>
  <dc:subject/>
  <dc:title>KPI Impact Calculator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