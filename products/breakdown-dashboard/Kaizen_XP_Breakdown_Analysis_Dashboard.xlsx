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Breakdown Log" sheetId="3" state="visible" r:id="rId5"/>
    <sheet name="Setup" sheetId="4" state="visible" r:id="rId6"/>
    <sheet name="Work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<sst xmlns="http://schemas.openxmlformats.org/spreadsheetml/2006/main" count="952" uniqueCount="167">
  <si>
    <t xml:space="preserve">KAIZEN XP  |  BREAKDOWN ANALYSIS DASHBOARD</t>
  </si>
  <si>
    <t xml:space="preserve">Log every breakdown. See which machine to fix first, and prove it got better.</t>
  </si>
  <si>
    <t xml:space="preserve">WHAT IT DOES</t>
  </si>
  <si>
    <t xml:space="preserve">Turns a simple breakdown log into MTBF, MTTR, availability, downtime cost and a Pareto of your worst machines and failure types. Updates itself every time you add a line.</t>
  </si>
  <si>
    <t xml:space="preserve">WHY IT MATTERS</t>
  </si>
  <si>
    <t xml:space="preserve">Every site has a breakdown log. Almost nobody turns it into a decision. This does it for you: the dashboard tells you which machine and which failure type to attack first.</t>
  </si>
  <si>
    <t xml:space="preserve">HOW TO USE IT</t>
  </si>
  <si>
    <t xml:space="preserve">1. Look at the Dashboard first. It is running on SAMPLE DATA so you can see it working.</t>
  </si>
  <si>
    <t xml:space="preserve">2. When you are ready, go to Breakdown Log, select the sample rows and press Delete.</t>
  </si>
  <si>
    <t xml:space="preserve">3. On Setup, type your line name, the period you want to look at, your run hours and your machine list.</t>
  </si>
  <si>
    <t xml:space="preserve">4. Log every breakdown: date, shift, machine, failure type, minutes down. Pick from the lists.</t>
  </si>
  <si>
    <t xml:space="preserve">5. Check the Dashboard weekly. Attack the top bar on the Pareto with 5 Whys or an RCFA.</t>
  </si>
  <si>
    <t xml:space="preserve">THE NUMBERS</t>
  </si>
  <si>
    <t xml:space="preserve">MTBF (Mean Time Between Failures): run hours divided by breakdowns. Higher is better.</t>
  </si>
  <si>
    <t xml:space="preserve">MTTR (Mean Time To Repair): downtime minutes divided by breakdowns. Lower is better.</t>
  </si>
  <si>
    <t xml:space="preserve">Availability: the share of planned run time the line was not broken down.</t>
  </si>
  <si>
    <t xml:space="preserve">Pareto: machines and failure types in order of downtime, with a running total. The first one or two bars are usually most of the problem.</t>
  </si>
  <si>
    <t xml:space="preserve">BREAKDOWN OR ASSIST?</t>
  </si>
  <si>
    <t xml:space="preserve">A breakdown needs a technician or engineer and stops the job. The quick stops an operator clears in a minute are assists: log those in the Kaizen XP MTBA Assist Tracker.</t>
  </si>
  <si>
    <t xml:space="preserve">WORKS IN</t>
  </si>
  <si>
    <t xml:space="preserve">Microsoft Excel, Google Sheets (File &gt; Import) and Apple Numbers. The Dashboard and Workings are locked so formulas cannot be broken by accident.</t>
  </si>
  <si>
    <t xml:space="preserve">LEGEND</t>
  </si>
  <si>
    <t xml:space="preserve">Type here</t>
  </si>
  <si>
    <t xml:space="preserve">Worked out for you (locked)</t>
  </si>
  <si>
    <t xml:space="preserve">"Do what nobody else can be bothered to do, and you'll get what nobody else gets."</t>
  </si>
  <si>
    <t xml:space="preserve">© 2026 Kaizen XP. Licensed for one person's use. Please do not share or resell.</t>
  </si>
  <si>
    <t xml:space="preserve">BREAKDOWNS</t>
  </si>
  <si>
    <t xml:space="preserve">HOURS DOWN</t>
  </si>
  <si>
    <t xml:space="preserve">MTBF (HOURS)</t>
  </si>
  <si>
    <t xml:space="preserve">MTTR (MINS)</t>
  </si>
  <si>
    <t xml:space="preserve">AVAILABILITY</t>
  </si>
  <si>
    <t xml:space="preserve">DOWNTIME COST</t>
  </si>
  <si>
    <t xml:space="preserve">ROOT CAUSE FOUND</t>
  </si>
  <si>
    <t xml:space="preserve">WORST MACHINES  (attack the top one first with 5 Whys or the Kaizen XP RCFA Template)</t>
  </si>
  <si>
    <t xml:space="preserve">MACHINE</t>
  </si>
  <si>
    <t xml:space="preserve">SHARE</t>
  </si>
  <si>
    <t xml:space="preserve">COST</t>
  </si>
  <si>
    <t xml:space="preserve">BREAKDOWN LOG</t>
  </si>
  <si>
    <t xml:space="preserve">One line per breakdown. Pick machine, failure type and shift from the lists. Minutes down = from stopped to running again.</t>
  </si>
  <si>
    <t xml:space="preserve">The rows below are SAMPLE DATA so you can see the dashboard working. When you are ready: select them, press Delete, then set your own machines and dates on the Setup tab.</t>
  </si>
  <si>
    <t xml:space="preserve">DATE</t>
  </si>
  <si>
    <t xml:space="preserve">SHIFT</t>
  </si>
  <si>
    <t xml:space="preserve">FAILURE TYPE</t>
  </si>
  <si>
    <t xml:space="preserve">WHAT HAPPENED</t>
  </si>
  <si>
    <t xml:space="preserve">MINUTES DOWN</t>
  </si>
  <si>
    <t xml:space="preserve">FIXED BY</t>
  </si>
  <si>
    <t xml:space="preserve">ROOT CAUSE FOUND?</t>
  </si>
  <si>
    <t xml:space="preserve">RCFA REF</t>
  </si>
  <si>
    <t xml:space="preserve">Lates</t>
  </si>
  <si>
    <t xml:space="preserve">Conveyors</t>
  </si>
  <si>
    <t xml:space="preserve">Electrical</t>
  </si>
  <si>
    <t xml:space="preserve">Motor tripped on overload</t>
  </si>
  <si>
    <t xml:space="preserve">Day tech</t>
  </si>
  <si>
    <t xml:space="preserve">In progress</t>
  </si>
  <si>
    <t xml:space="preserve">Filler</t>
  </si>
  <si>
    <t xml:space="preserve">Mechanical</t>
  </si>
  <si>
    <t xml:space="preserve">Bearing noise, replaced</t>
  </si>
  <si>
    <t xml:space="preserve">Operator and tech</t>
  </si>
  <si>
    <t xml:space="preserve">No</t>
  </si>
  <si>
    <t xml:space="preserve">Nights</t>
  </si>
  <si>
    <t xml:space="preserve">Other</t>
  </si>
  <si>
    <t xml:space="preserve">Guard interlock fault</t>
  </si>
  <si>
    <t xml:space="preserve">Yes</t>
  </si>
  <si>
    <t xml:space="preserve">RCFA-001</t>
  </si>
  <si>
    <t xml:space="preserve">Days</t>
  </si>
  <si>
    <t xml:space="preserve">Case packer</t>
  </si>
  <si>
    <t xml:space="preserve">Sensor or controls</t>
  </si>
  <si>
    <t xml:space="preserve">PLC fault, reset and checked</t>
  </si>
  <si>
    <t xml:space="preserve">Night tech</t>
  </si>
  <si>
    <t xml:space="preserve">Capper</t>
  </si>
  <si>
    <t xml:space="preserve">Pneumatic</t>
  </si>
  <si>
    <t xml:space="preserve">Air leak on cylinder</t>
  </si>
  <si>
    <t xml:space="preserve">Labeller</t>
  </si>
  <si>
    <t xml:space="preserve">Material or supply</t>
  </si>
  <si>
    <t xml:space="preserve">Film roll faulty</t>
  </si>
  <si>
    <t xml:space="preserve">Changeover or setup</t>
  </si>
  <si>
    <t xml:space="preserve">Overran changeover</t>
  </si>
  <si>
    <t xml:space="preserve">RCFA-002</t>
  </si>
  <si>
    <t xml:space="preserve">Earlies</t>
  </si>
  <si>
    <t xml:space="preserve">Shrink wrapper</t>
  </si>
  <si>
    <t xml:space="preserve">Wrong change parts fitted</t>
  </si>
  <si>
    <t xml:space="preserve">Photo eye misaligned</t>
  </si>
  <si>
    <t xml:space="preserve">Shift engineer</t>
  </si>
  <si>
    <t xml:space="preserve">Proximity sensor failed</t>
  </si>
  <si>
    <t xml:space="preserve">Guide rail worked loose</t>
  </si>
  <si>
    <t xml:space="preserve">RCFA-003</t>
  </si>
  <si>
    <t xml:space="preserve">RCFA-004</t>
  </si>
  <si>
    <t xml:space="preserve">Label reel splice failed</t>
  </si>
  <si>
    <t xml:space="preserve">RCFA-005</t>
  </si>
  <si>
    <t xml:space="preserve">RCFA-006</t>
  </si>
  <si>
    <t xml:space="preserve">Electrician</t>
  </si>
  <si>
    <t xml:space="preserve">RCFA-007</t>
  </si>
  <si>
    <t xml:space="preserve">Palletiser</t>
  </si>
  <si>
    <t xml:space="preserve">Lubrication missed, seized</t>
  </si>
  <si>
    <t xml:space="preserve">Depalletiser</t>
  </si>
  <si>
    <t xml:space="preserve">Settings not reset after changeover</t>
  </si>
  <si>
    <t xml:space="preserve">RCFA-008</t>
  </si>
  <si>
    <t xml:space="preserve">Out of spec cases jammed</t>
  </si>
  <si>
    <t xml:space="preserve">Gearbox coupling sheared</t>
  </si>
  <si>
    <t xml:space="preserve">Valve stuck, replaced</t>
  </si>
  <si>
    <t xml:space="preserve">Contactor failed</t>
  </si>
  <si>
    <t xml:space="preserve">RCFA-009</t>
  </si>
  <si>
    <t xml:space="preserve">Drive chain off sprocket</t>
  </si>
  <si>
    <t xml:space="preserve">Low air pressure alarm</t>
  </si>
  <si>
    <t xml:space="preserve">RCFA-010</t>
  </si>
  <si>
    <t xml:space="preserve">RCFA-011</t>
  </si>
  <si>
    <t xml:space="preserve">RCFA-012</t>
  </si>
  <si>
    <t xml:space="preserve">Loose terminal in panel</t>
  </si>
  <si>
    <t xml:space="preserve">RCFA-013</t>
  </si>
  <si>
    <t xml:space="preserve">RCFA-014</t>
  </si>
  <si>
    <t xml:space="preserve">RCFA-015</t>
  </si>
  <si>
    <t xml:space="preserve">RCFA-016</t>
  </si>
  <si>
    <t xml:space="preserve">RCFA-017</t>
  </si>
  <si>
    <t xml:space="preserve">RCFA-018</t>
  </si>
  <si>
    <t xml:space="preserve">RCFA-019</t>
  </si>
  <si>
    <t xml:space="preserve">RCFA-020</t>
  </si>
  <si>
    <t xml:space="preserve">RCFA-021</t>
  </si>
  <si>
    <t xml:space="preserve">RCFA-022</t>
  </si>
  <si>
    <t xml:space="preserve">SETUP</t>
  </si>
  <si>
    <t xml:space="preserve">Tell the dashboard about your line. Cream boxes only. The sample values are there to show you the format.</t>
  </si>
  <si>
    <t xml:space="preserve">YOUR LINE AND PERIOD</t>
  </si>
  <si>
    <t xml:space="preserve">Line or area name</t>
  </si>
  <si>
    <t xml:space="preserve">Line 3 (sample)</t>
  </si>
  <si>
    <t xml:space="preserve">Period start date</t>
  </si>
  <si>
    <t xml:space="preserve">The dashboard only counts breakdowns between these dates.</t>
  </si>
  <si>
    <t xml:space="preserve">Period end date</t>
  </si>
  <si>
    <t xml:space="preserve">Change both to look at a month, a quarter or a year.</t>
  </si>
  <si>
    <t xml:space="preserve">Planned run hours per day</t>
  </si>
  <si>
    <t xml:space="preserve">Hours the line is meant to run, not counting planned stops.</t>
  </si>
  <si>
    <t xml:space="preserve">Run days per week</t>
  </si>
  <si>
    <t xml:space="preserve">Cost of an hour of downtime (£)</t>
  </si>
  <si>
    <t xml:space="preserve">Ask what an hour of lost output is worth. If unsure, use labour cost as the floor.</t>
  </si>
  <si>
    <t xml:space="preserve">Planned run hours in this period</t>
  </si>
  <si>
    <t xml:space="preserve">MACHINES (UP TO 15)</t>
  </si>
  <si>
    <t xml:space="preserve">FAILURE TYPES (UP TO 10)</t>
  </si>
  <si>
    <t xml:space="preserve">These lists feed the dropdowns in the Breakdown Log and the charts on the Dashboard. Rename them to match your site.</t>
  </si>
  <si>
    <t xml:space="preserve">WORKINGS</t>
  </si>
  <si>
    <t xml:space="preserve">The maths behind the Dashboard. Nothing to type here.</t>
  </si>
  <si>
    <t xml:space="preserve">BY MACHINE (setup order)</t>
  </si>
  <si>
    <t xml:space="preserve">BY MACHINE (worst first)</t>
  </si>
  <si>
    <t xml:space="preserve">Machine</t>
  </si>
  <si>
    <t xml:space="preserve">Breakdowns</t>
  </si>
  <si>
    <t xml:space="preserve">Minutes</t>
  </si>
  <si>
    <t xml:space="preserve">Sort key</t>
  </si>
  <si>
    <t xml:space="preserve">Rank</t>
  </si>
  <si>
    <t xml:space="preserve">Hours</t>
  </si>
  <si>
    <t xml:space="preserve">Running %</t>
  </si>
  <si>
    <t xml:space="preserve">BY FAILURE TYPE (setup order)</t>
  </si>
  <si>
    <t xml:space="preserve">BY FAILURE TYPE (worst first)</t>
  </si>
  <si>
    <t xml:space="preserve">Failure type</t>
  </si>
  <si>
    <t xml:space="preserve">BY MONTH</t>
  </si>
  <si>
    <t xml:space="preserve">BY SHIFT</t>
  </si>
  <si>
    <t xml:space="preserve">Month start</t>
  </si>
  <si>
    <t xml:space="preserve">Hours down</t>
  </si>
  <si>
    <t xml:space="preserve">Label</t>
  </si>
  <si>
    <t xml:space="preserve">Shift</t>
  </si>
  <si>
    <t xml:space="preserve">Weekend</t>
  </si>
  <si>
    <t xml:space="preserve">TOTALS</t>
  </si>
  <si>
    <t xml:space="preserve">Minutes down</t>
  </si>
  <si>
    <t xml:space="preserve">Planned run hours</t>
  </si>
  <si>
    <t xml:space="preserve">MTBF (hours)</t>
  </si>
  <si>
    <t xml:space="preserve">MTTR (minutes)</t>
  </si>
  <si>
    <t xml:space="preserve">Availability</t>
  </si>
  <si>
    <t xml:space="preserve">Downtime cost</t>
  </si>
  <si>
    <t xml:space="preserve">Root cause found</t>
  </si>
  <si>
    <t xml:space="preserve">Top machine share</t>
  </si>
  <si>
    <t xml:space="preserve">Top failure share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</si>
</sst>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.0"/>
    <numFmt numFmtId="167" formatCode="0.0%"/>
    <numFmt numFmtId="168" formatCode="\£#,##0;&quot;(£&quot;#,##0\);\-"/>
    <numFmt numFmtId="169" formatCode="0%"/>
    <numFmt numFmtId="170" formatCode="0.0"/>
    <numFmt numFmtId="171" formatCode="dd\ mmm\ yy"/>
    <numFmt numFmtId="172" formatCode="0"/>
    <numFmt numFmtId="173" formatCode="dd\ mmm\ yyyy"/>
    <numFmt numFmtId="174" formatCode="\£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9"/>
      <color rgb="FFBBBBB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8"/>
      <color rgb="FFC9A84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9"/>
      <color rgb="FF9A7B1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1A1A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C9A84C"/>
        <bgColor rgb="FF999999"/>
      </patternFill>
    </fill>
    <fill>
      <patternFill patternType="solid">
        <fgColor rgb="FFF3EF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CCB8"/>
      </left>
      <right style="thin">
        <color rgb="FFD3CCB8"/>
      </right>
      <top style="thin">
        <color rgb="FFD3CCB8"/>
      </top>
      <bottom style="thin">
        <color rgb="FFD3CC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3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2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4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1F"/>
      <rgbColor rgb="FF800080"/>
      <rgbColor rgb="FF008080"/>
      <rgbColor rgb="FFBBBBBB"/>
      <rgbColor rgb="FF878787"/>
      <rgbColor rgb="FF9999FF"/>
      <rgbColor rgb="FF993366"/>
      <rgbColor rgb="FFF3EF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3CCB8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003366"/>
      <rgbColor rgb="FF339966"/>
      <rgbColor rgb="FF0D0D0D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by machine, worst first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Workings!J6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c9a84c"/>
            </a:solidFill>
            <a:ln w="0">
              <a:solidFill>
                <a:srgbClr val="c9a84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Workings!$H$7:$H$16</c:f>
              <c:strCache>
                <c:ptCount val="10"/>
                <c:pt idx="0">
                  <c:v>Labeller</c:v>
                </c:pt>
                <c:pt idx="1">
                  <c:v>Filler</c:v>
                </c:pt>
                <c:pt idx="2">
                  <c:v>Case packer</c:v>
                </c:pt>
                <c:pt idx="3">
                  <c:v>Palletiser</c:v>
                </c:pt>
                <c:pt idx="4">
                  <c:v>Shrink wrapper</c:v>
                </c:pt>
                <c:pt idx="5">
                  <c:v>Capper</c:v>
                </c:pt>
                <c:pt idx="6">
                  <c:v>Conveyors</c:v>
                </c:pt>
                <c:pt idx="7">
                  <c:v>Depalletiser</c:v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Workings!$J$7:$J$16</c:f>
              <c:numCache>
                <c:formatCode>0.0</c:formatCode>
                <c:ptCount val="10"/>
                <c:pt idx="0">
                  <c:v>24.7833333333333</c:v>
                </c:pt>
                <c:pt idx="1">
                  <c:v>8.96666666666667</c:v>
                </c:pt>
                <c:pt idx="2">
                  <c:v>8.63333333333333</c:v>
                </c:pt>
                <c:pt idx="3">
                  <c:v>8.41666666666667</c:v>
                </c:pt>
                <c:pt idx="4">
                  <c:v>7.85</c:v>
                </c:pt>
                <c:pt idx="5">
                  <c:v>6.63333333333333</c:v>
                </c:pt>
                <c:pt idx="6">
                  <c:v>6.23333333333333</c:v>
                </c:pt>
                <c:pt idx="7">
                  <c:v>2.8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7670097"/>
        <c:axId val="60621180"/>
      </c:barChart>
      <c:lineChart>
        <c:grouping val="standard"/>
        <c:varyColors val="0"/>
        <c:ser>
          <c:idx val="1"/>
          <c:order val="1"/>
          <c:tx>
            <c:strRef>
              <c:f>Workings!K6</c:f>
              <c:strCache>
                <c:ptCount val="1"/>
                <c:pt idx="0">
                  <c:v>Running %</c:v>
                </c:pt>
              </c:strCache>
            </c:strRef>
          </c:tx>
          <c:spPr>
            <a:solidFill>
              <a:srgbClr val="0d0d0d"/>
            </a:solidFill>
            <a:ln w="2196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Workings!$H$7:$H$16</c:f>
              <c:strCache>
                <c:ptCount val="10"/>
                <c:pt idx="0">
                  <c:v>Labeller</c:v>
                </c:pt>
                <c:pt idx="1">
                  <c:v>Filler</c:v>
                </c:pt>
                <c:pt idx="2">
                  <c:v>Case packer</c:v>
                </c:pt>
                <c:pt idx="3">
                  <c:v>Palletiser</c:v>
                </c:pt>
                <c:pt idx="4">
                  <c:v>Shrink wrapper</c:v>
                </c:pt>
                <c:pt idx="5">
                  <c:v>Capper</c:v>
                </c:pt>
                <c:pt idx="6">
                  <c:v>Conveyors</c:v>
                </c:pt>
                <c:pt idx="7">
                  <c:v>Depalletiser</c:v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Workings!$K$7:$K$16</c:f>
              <c:numCache>
                <c:formatCode>0%</c:formatCode>
                <c:ptCount val="10"/>
                <c:pt idx="0">
                  <c:v>0.333482843686925</c:v>
                </c:pt>
                <c:pt idx="1">
                  <c:v>0.454137699035658</c:v>
                </c:pt>
                <c:pt idx="2">
                  <c:v>0.570307243776632</c:v>
                </c:pt>
                <c:pt idx="3">
                  <c:v>0.683561336622561</c:v>
                </c:pt>
                <c:pt idx="4">
                  <c:v>0.789190401435299</c:v>
                </c:pt>
                <c:pt idx="5">
                  <c:v>0.878448082529715</c:v>
                </c:pt>
                <c:pt idx="6">
                  <c:v>0.962323390894819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68433"/>
        <c:axId val="52681542"/>
      </c:lineChart>
      <c:catAx>
        <c:axId val="17670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1180"/>
        <c:crosses val="autoZero"/>
        <c:auto val="1"/>
        <c:lblAlgn val="ctr"/>
        <c:lblOffset val="100"/>
        <c:noMultiLvlLbl val="0"/>
      </c:catAx>
      <c:valAx>
        <c:axId val="606211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70097"/>
        <c:crosses val="autoZero"/>
        <c:crossBetween val="between"/>
      </c:valAx>
      <c:catAx>
        <c:axId val="1256843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81542"/>
        <c:crosses val="autoZero"/>
        <c:auto val="1"/>
        <c:lblAlgn val="ctr"/>
        <c:lblOffset val="100"/>
        <c:noMultiLvlLbl val="0"/>
      </c:catAx>
      <c:valAx>
        <c:axId val="52681542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Running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6843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by failure type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Workings!J25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0d0d0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Workings!$H$26:$H$35</c:f>
              <c:strCache>
                <c:ptCount val="10"/>
                <c:pt idx="0">
                  <c:v>Mechanical</c:v>
                </c:pt>
                <c:pt idx="1">
                  <c:v>Material or supply</c:v>
                </c:pt>
                <c:pt idx="2">
                  <c:v>Sensor or controls</c:v>
                </c:pt>
                <c:pt idx="3">
                  <c:v>Other</c:v>
                </c:pt>
                <c:pt idx="4">
                  <c:v>Changeover or setup</c:v>
                </c:pt>
                <c:pt idx="5">
                  <c:v>Pneumatic</c:v>
                </c:pt>
                <c:pt idx="6">
                  <c:v>Electrical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Workings!$J$26:$J$35</c:f>
              <c:numCache>
                <c:formatCode>0.0</c:formatCode>
                <c:ptCount val="10"/>
                <c:pt idx="0">
                  <c:v>22.9333333333333</c:v>
                </c:pt>
                <c:pt idx="1">
                  <c:v>16.2166666666667</c:v>
                </c:pt>
                <c:pt idx="2">
                  <c:v>15.7</c:v>
                </c:pt>
                <c:pt idx="3">
                  <c:v>6.73333333333333</c:v>
                </c:pt>
                <c:pt idx="4">
                  <c:v>5.16666666666667</c:v>
                </c:pt>
                <c:pt idx="5">
                  <c:v>4.25</c:v>
                </c:pt>
                <c:pt idx="6">
                  <c:v>3.31666666666667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9240657"/>
        <c:axId val="30474477"/>
      </c:barChart>
      <c:lineChart>
        <c:grouping val="standard"/>
        <c:varyColors val="0"/>
        <c:ser>
          <c:idx val="1"/>
          <c:order val="1"/>
          <c:tx>
            <c:strRef>
              <c:f>Workings!K25</c:f>
              <c:strCache>
                <c:ptCount val="1"/>
                <c:pt idx="0">
                  <c:v>Running %</c:v>
                </c:pt>
              </c:strCache>
            </c:strRef>
          </c:tx>
          <c:spPr>
            <a:solidFill>
              <a:srgbClr val="c9a84c"/>
            </a:solidFill>
            <a:ln w="219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Workings!$H$26:$H$35</c:f>
              <c:strCache>
                <c:ptCount val="10"/>
                <c:pt idx="0">
                  <c:v>Mechanical</c:v>
                </c:pt>
                <c:pt idx="1">
                  <c:v>Material or supply</c:v>
                </c:pt>
                <c:pt idx="2">
                  <c:v>Sensor or controls</c:v>
                </c:pt>
                <c:pt idx="3">
                  <c:v>Other</c:v>
                </c:pt>
                <c:pt idx="4">
                  <c:v>Changeover or setup</c:v>
                </c:pt>
                <c:pt idx="5">
                  <c:v>Pneumatic</c:v>
                </c:pt>
                <c:pt idx="6">
                  <c:v>Electrical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Workings!$K$26:$K$35</c:f>
              <c:numCache>
                <c:formatCode>0%</c:formatCode>
                <c:ptCount val="10"/>
                <c:pt idx="0">
                  <c:v>0.30858936981386</c:v>
                </c:pt>
                <c:pt idx="1">
                  <c:v>0.526799730881364</c:v>
                </c:pt>
                <c:pt idx="2">
                  <c:v>0.73805786050684</c:v>
                </c:pt>
                <c:pt idx="3">
                  <c:v>0.828661134783584</c:v>
                </c:pt>
                <c:pt idx="4">
                  <c:v>0.898183449203857</c:v>
                </c:pt>
                <c:pt idx="5">
                  <c:v>0.955371159452792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307040"/>
        <c:axId val="7361803"/>
      </c:lineChart>
      <c:catAx>
        <c:axId val="49240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74477"/>
        <c:crosses val="autoZero"/>
        <c:auto val="1"/>
        <c:lblAlgn val="ctr"/>
        <c:lblOffset val="100"/>
        <c:noMultiLvlLbl val="0"/>
      </c:catAx>
      <c:valAx>
        <c:axId val="304744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40657"/>
        <c:crosses val="autoZero"/>
        <c:crossBetween val="between"/>
      </c:valAx>
      <c:catAx>
        <c:axId val="7630704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1803"/>
        <c:crosses val="autoZero"/>
        <c:auto val="1"/>
        <c:lblAlgn val="ctr"/>
        <c:lblOffset val="100"/>
        <c:noMultiLvlLbl val="0"/>
      </c:catAx>
      <c:valAx>
        <c:axId val="7361803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Running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0704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down by month (is it getting better?)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Workings!D39</c:f>
              <c:strCache>
                <c:ptCount val="1"/>
                <c:pt idx="0">
                  <c:v>Hours down</c:v>
                </c:pt>
              </c:strCache>
            </c:strRef>
          </c:tx>
          <c:spPr>
            <a:solidFill>
              <a:srgbClr val="c9a84c"/>
            </a:solidFill>
            <a:ln w="0">
              <a:solidFill>
                <a:srgbClr val="c9a84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Workings!$E$40:$E$51</c:f>
              <c:strCache>
                <c:ptCount val="12"/>
                <c:pt idx="0">
                  <c:v>Apr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Aug 26</c:v>
                </c:pt>
                <c:pt idx="5">
                  <c:v>Sep 26</c:v>
                </c:pt>
                <c:pt idx="6">
                  <c:v>Oct 26</c:v>
                </c:pt>
                <c:pt idx="7">
                  <c:v>Nov 26</c:v>
                </c:pt>
                <c:pt idx="8">
                  <c:v>Dec 26</c:v>
                </c:pt>
                <c:pt idx="9">
                  <c:v>Jan 27</c:v>
                </c:pt>
                <c:pt idx="10">
                  <c:v>Feb 27</c:v>
                </c:pt>
                <c:pt idx="11">
                  <c:v>Mar 27</c:v>
                </c:pt>
              </c:strCache>
            </c:strRef>
          </c:cat>
          <c:val>
            <c:numRef>
              <c:f>Workings!$D$40:$D$51</c:f>
              <c:numCache>
                <c:formatCode>0.0</c:formatCode>
                <c:ptCount val="12"/>
                <c:pt idx="0">
                  <c:v>11.9833333333333</c:v>
                </c:pt>
                <c:pt idx="1">
                  <c:v>15.25</c:v>
                </c:pt>
                <c:pt idx="2">
                  <c:v>16.8833333333333</c:v>
                </c:pt>
                <c:pt idx="3">
                  <c:v>12.7</c:v>
                </c:pt>
                <c:pt idx="4">
                  <c:v>9.06666666666667</c:v>
                </c:pt>
                <c:pt idx="5">
                  <c:v>8.43333333333333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5207795"/>
        <c:axId val="42721556"/>
      </c:barChart>
      <c:catAx>
        <c:axId val="15207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21556"/>
        <c:crosses val="autoZero"/>
        <c:auto val="1"/>
        <c:lblAlgn val="ctr"/>
        <c:lblOffset val="100"/>
        <c:noMultiLvlLbl val="0"/>
      </c:catAx>
      <c:valAx>
        <c:axId val="4272155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07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Breakdowns by shift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Workings!I39</c:f>
              <c:strCache>
                <c:ptCount val="1"/>
                <c:pt idx="0">
                  <c:v>Breakdowns</c:v>
                </c:pt>
              </c:strCache>
            </c:strRef>
          </c:tx>
          <c:spPr>
            <a:solidFill>
              <a:srgbClr val="0d0d0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Workings!$H$40:$H$44</c:f>
              <c:strCache>
                <c:ptCount val="5"/>
                <c:pt idx="0">
                  <c:v>Days</c:v>
                </c:pt>
                <c:pt idx="1">
                  <c:v>Earlies</c:v>
                </c:pt>
                <c:pt idx="2">
                  <c:v>Lates</c:v>
                </c:pt>
                <c:pt idx="3">
                  <c:v>Nights</c:v>
                </c:pt>
                <c:pt idx="4">
                  <c:v>Weekend</c:v>
                </c:pt>
              </c:strCache>
            </c:strRef>
          </c:cat>
          <c:val>
            <c:numRef>
              <c:f>Workings!$I$40:$I$44</c:f>
              <c:numCache>
                <c:formatCode>General</c:formatCode>
                <c:ptCount val="5"/>
                <c:pt idx="0">
                  <c:v>30</c:v>
                </c:pt>
                <c:pt idx="1">
                  <c:v>34</c:v>
                </c:pt>
                <c:pt idx="2">
                  <c:v>39</c:v>
                </c:pt>
                <c:pt idx="3">
                  <c:v>29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5462288"/>
        <c:axId val="58909981"/>
      </c:barChart>
      <c:catAx>
        <c:axId val="454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09981"/>
        <c:crosses val="autoZero"/>
        <c:auto val="1"/>
        <c:lblAlgn val="ctr"/>
        <c:lblOffset val="100"/>
        <c:noMultiLvlLbl val="0"/>
      </c:catAx>
      <c:valAx>
        <c:axId val="589099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Breakdowns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62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8</xdr:col>
      <xdr:colOff>73080</xdr:colOff>
      <xdr:row>26</xdr:row>
      <xdr:rowOff>32760</xdr:rowOff>
    </xdr:to>
    <xdr:graphicFrame>
      <xdr:nvGraphicFramePr>
        <xdr:cNvPr id="0" name="Chart 1"/>
        <xdr:cNvGraphicFramePr/>
      </xdr:nvGraphicFramePr>
      <xdr:xfrm>
        <a:off x="141120" y="2619360"/>
        <a:ext cx="525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15</xdr:col>
      <xdr:colOff>72720</xdr:colOff>
      <xdr:row>26</xdr:row>
      <xdr:rowOff>32760</xdr:rowOff>
    </xdr:to>
    <xdr:graphicFrame>
      <xdr:nvGraphicFramePr>
        <xdr:cNvPr id="1" name="Chart 2"/>
        <xdr:cNvGraphicFramePr/>
      </xdr:nvGraphicFramePr>
      <xdr:xfrm>
        <a:off x="5323680" y="2619360"/>
        <a:ext cx="525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8</xdr:col>
      <xdr:colOff>73080</xdr:colOff>
      <xdr:row>42</xdr:row>
      <xdr:rowOff>32760</xdr:rowOff>
    </xdr:to>
    <xdr:graphicFrame>
      <xdr:nvGraphicFramePr>
        <xdr:cNvPr id="2" name="Chart 3"/>
        <xdr:cNvGraphicFramePr/>
      </xdr:nvGraphicFramePr>
      <xdr:xfrm>
        <a:off x="141120" y="5667480"/>
        <a:ext cx="525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72720</xdr:colOff>
      <xdr:row>42</xdr:row>
      <xdr:rowOff>32760</xdr:rowOff>
    </xdr:to>
    <xdr:graphicFrame>
      <xdr:nvGraphicFramePr>
        <xdr:cNvPr id="3" name="Chart 4"/>
        <xdr:cNvGraphicFramePr/>
      </xdr:nvGraphicFramePr>
      <xdr:xfrm>
        <a:off x="5323680" y="5667480"/>
        <a:ext cx="525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4"/>
  </cols>
  <sheetData>
    <row r="1" customFormat="false" ht="33.75" hidden="false" customHeight="true" outlineLevel="0" collapsed="false">
      <c r="A1" s="1"/>
      <c r="B1" s="2" t="s">
        <v>0</v>
      </c>
      <c r="C1" s="2"/>
      <c r="D1" s="1"/>
    </row>
    <row r="2" customFormat="false" ht="19.5" hidden="false" customHeight="true" outlineLevel="0" collapsed="false">
      <c r="A2" s="1"/>
      <c r="B2" s="3" t="s">
        <v>1</v>
      </c>
      <c r="C2" s="3"/>
      <c r="D2" s="1"/>
    </row>
    <row r="3" customFormat="false" ht="3" hidden="false" customHeight="true" outlineLevel="0" collapsed="false">
      <c r="A3" s="4"/>
      <c r="B3" s="4"/>
      <c r="C3" s="4"/>
      <c r="D3" s="4"/>
    </row>
    <row r="5" customFormat="false" ht="30" hidden="false" customHeight="true" outlineLevel="0" collapsed="false">
      <c r="B5" s="5" t="s">
        <v>2</v>
      </c>
      <c r="C5" s="6" t="s">
        <v>3</v>
      </c>
    </row>
    <row r="6" customFormat="false" ht="30" hidden="false" customHeight="true" outlineLevel="0" collapsed="false">
      <c r="B6" s="5" t="s">
        <v>4</v>
      </c>
      <c r="C6" s="6" t="s">
        <v>5</v>
      </c>
    </row>
    <row r="7" customFormat="false" ht="16.5" hidden="false" customHeight="true" outlineLevel="0" collapsed="false">
      <c r="B7" s="5"/>
      <c r="C7" s="6"/>
    </row>
    <row r="8" customFormat="false" ht="16.5" hidden="false" customHeight="true" outlineLevel="0" collapsed="false">
      <c r="B8" s="5" t="s">
        <v>6</v>
      </c>
      <c r="C8" s="6" t="s">
        <v>7</v>
      </c>
    </row>
    <row r="9" customFormat="false" ht="16.5" hidden="false" customHeight="true" outlineLevel="0" collapsed="false">
      <c r="B9" s="5"/>
      <c r="C9" s="6" t="s">
        <v>8</v>
      </c>
    </row>
    <row r="10" customFormat="false" ht="30" hidden="false" customHeight="true" outlineLevel="0" collapsed="false">
      <c r="B10" s="5"/>
      <c r="C10" s="6" t="s">
        <v>9</v>
      </c>
    </row>
    <row r="11" customFormat="false" ht="30" hidden="false" customHeight="true" outlineLevel="0" collapsed="false">
      <c r="B11" s="5"/>
      <c r="C11" s="6" t="s">
        <v>10</v>
      </c>
    </row>
    <row r="12" customFormat="false" ht="16.5" hidden="false" customHeight="true" outlineLevel="0" collapsed="false">
      <c r="B12" s="5"/>
      <c r="C12" s="6" t="s">
        <v>11</v>
      </c>
    </row>
    <row r="13" customFormat="false" ht="16.5" hidden="false" customHeight="true" outlineLevel="0" collapsed="false">
      <c r="B13" s="5"/>
      <c r="C13" s="6"/>
    </row>
    <row r="14" customFormat="false" ht="16.5" hidden="false" customHeight="true" outlineLevel="0" collapsed="false">
      <c r="B14" s="5" t="s">
        <v>12</v>
      </c>
      <c r="C14" s="6" t="s">
        <v>13</v>
      </c>
    </row>
    <row r="15" customFormat="false" ht="16.5" hidden="false" customHeight="true" outlineLevel="0" collapsed="false">
      <c r="B15" s="5"/>
      <c r="C15" s="6" t="s">
        <v>14</v>
      </c>
    </row>
    <row r="16" customFormat="false" ht="16.5" hidden="false" customHeight="true" outlineLevel="0" collapsed="false">
      <c r="B16" s="5"/>
      <c r="C16" s="6" t="s">
        <v>15</v>
      </c>
    </row>
    <row r="17" customFormat="false" ht="30" hidden="false" customHeight="true" outlineLevel="0" collapsed="false">
      <c r="B17" s="5"/>
      <c r="C17" s="6" t="s">
        <v>16</v>
      </c>
    </row>
    <row r="18" customFormat="false" ht="16.5" hidden="false" customHeight="true" outlineLevel="0" collapsed="false">
      <c r="B18" s="5"/>
      <c r="C18" s="6"/>
    </row>
    <row r="19" customFormat="false" ht="30" hidden="false" customHeight="true" outlineLevel="0" collapsed="false">
      <c r="B19" s="5" t="s">
        <v>17</v>
      </c>
      <c r="C19" s="6" t="s">
        <v>18</v>
      </c>
    </row>
    <row r="20" customFormat="false" ht="16.5" hidden="false" customHeight="true" outlineLevel="0" collapsed="false">
      <c r="B20" s="5"/>
      <c r="C20" s="6"/>
    </row>
    <row r="21" customFormat="false" ht="30" hidden="false" customHeight="true" outlineLevel="0" collapsed="false">
      <c r="B21" s="5" t="s">
        <v>19</v>
      </c>
      <c r="C21" s="6" t="s">
        <v>20</v>
      </c>
    </row>
    <row r="23" customFormat="false" ht="15" hidden="false" customHeight="false" outlineLevel="0" collapsed="false">
      <c r="B23" s="7" t="s">
        <v>21</v>
      </c>
      <c r="C23" s="8" t="s">
        <v>22</v>
      </c>
    </row>
    <row r="24" customFormat="false" ht="15" hidden="false" customHeight="false" outlineLevel="0" collapsed="false">
      <c r="C24" s="9" t="s">
        <v>23</v>
      </c>
    </row>
    <row r="26" customFormat="false" ht="15" hidden="false" customHeight="false" outlineLevel="0" collapsed="false">
      <c r="B26" s="10" t="s">
        <v>24</v>
      </c>
    </row>
    <row r="27" customFormat="false" ht="15" hidden="false" customHeight="false" outlineLevel="0" collapsed="false">
      <c r="B27" s="11" t="s">
        <v>25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0.51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customFormat="false" ht="19.5" hidden="false" customHeight="true" outlineLevel="0" collapsed="false">
      <c r="A2" s="1"/>
      <c r="B2" s="3" t="str">
        <f aca="false">"Line: "&amp;Setup!C6&amp;"     Period: "&amp;TEXT(Setup!C7,"d mmm yyyy")&amp;" to "&amp;TEXT(Setup!C8,"d mmm yyyy")</f>
        <v>Line: Line 3 (sample)     Period: 1 Apr 2026 to 30 Sep 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19.5" hidden="false" customHeight="true" outlineLevel="0" collapsed="false">
      <c r="B5" s="12" t="s">
        <v>26</v>
      </c>
      <c r="C5" s="12"/>
      <c r="D5" s="12" t="s">
        <v>27</v>
      </c>
      <c r="E5" s="12"/>
      <c r="F5" s="12" t="s">
        <v>28</v>
      </c>
      <c r="G5" s="12"/>
      <c r="H5" s="12" t="s">
        <v>29</v>
      </c>
      <c r="I5" s="12"/>
      <c r="J5" s="12" t="s">
        <v>30</v>
      </c>
      <c r="K5" s="12"/>
      <c r="L5" s="12" t="s">
        <v>31</v>
      </c>
      <c r="M5" s="12"/>
      <c r="N5" s="12" t="s">
        <v>32</v>
      </c>
      <c r="O5" s="12"/>
    </row>
    <row r="6" customFormat="false" ht="21.75" hidden="false" customHeight="true" outlineLevel="0" collapsed="false">
      <c r="B6" s="13" t="n">
        <f aca="false">Workings!C56</f>
        <v>132</v>
      </c>
      <c r="C6" s="13"/>
      <c r="D6" s="14" t="n">
        <f aca="false">Workings!C57/60</f>
        <v>74.3166666666667</v>
      </c>
      <c r="E6" s="14"/>
      <c r="F6" s="14" t="n">
        <f aca="false">Workings!C59</f>
        <v>20.2324494949495</v>
      </c>
      <c r="G6" s="14"/>
      <c r="H6" s="13" t="n">
        <f aca="false">Workings!C60</f>
        <v>33.780303030303</v>
      </c>
      <c r="I6" s="13"/>
      <c r="J6" s="15" t="n">
        <f aca="false">Workings!C61</f>
        <v>0.972926533090468</v>
      </c>
      <c r="K6" s="15"/>
      <c r="L6" s="16" t="n">
        <f aca="false">Workings!C62</f>
        <v>18579.1666666667</v>
      </c>
      <c r="M6" s="16"/>
      <c r="N6" s="17" t="n">
        <f aca="false">Workings!C63</f>
        <v>0.348484848484849</v>
      </c>
      <c r="O6" s="17"/>
    </row>
    <row r="7" customFormat="false" ht="21.75" hidden="false" customHeight="true" outlineLevel="0" collapsed="false">
      <c r="B7" s="13"/>
      <c r="C7" s="13"/>
      <c r="D7" s="14"/>
      <c r="E7" s="14"/>
      <c r="F7" s="14"/>
      <c r="G7" s="14"/>
      <c r="H7" s="13"/>
      <c r="I7" s="13"/>
      <c r="J7" s="15"/>
      <c r="K7" s="15"/>
      <c r="L7" s="16"/>
      <c r="M7" s="16"/>
      <c r="N7" s="17"/>
      <c r="O7" s="17"/>
    </row>
    <row r="8" customFormat="false" ht="3" hidden="false" customHeight="true" outlineLevel="0" collapsed="false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10" customFormat="false" ht="19.5" hidden="false" customHeight="true" outlineLevel="0" collapsed="false">
      <c r="B10" s="18" t="str">
        <f aca="false">IF(Workings!C56=0,"Log your first breakdown and the machine to fix first shows here.","FIX FIRST:  "&amp;Workings!H7&amp;". It caused "&amp;TEXT(Workings!C64,"0%")&amp;" of all downtime ("&amp;TEXT(Workings!J7,"0.0")&amp;" hours) in this period. Biggest failure type overall: "&amp;Workings!H26&amp;" ("&amp;TEXT(Workings!C65,"0%")&amp;").")</f>
        <v>FIX FIRST:  Labeller. It caused 33% of all downtime (24.8 hours) in this period. Biggest failure type overall: Mechanical (31%).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customFormat="false" ht="19.5" hidden="false" customHeight="true" outlineLevel="0" collapsed="false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45" customFormat="false" ht="19.5" hidden="false" customHeight="true" outlineLevel="0" collapsed="false">
      <c r="B45" s="19" t="s">
        <v>33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customFormat="false" ht="15" hidden="false" customHeight="false" outlineLevel="0" collapsed="false">
      <c r="B46" s="21" t="s">
        <v>34</v>
      </c>
      <c r="C46" s="21"/>
      <c r="D46" s="21"/>
      <c r="E46" s="21" t="s">
        <v>26</v>
      </c>
      <c r="F46" s="21"/>
      <c r="G46" s="21" t="s">
        <v>27</v>
      </c>
      <c r="H46" s="21"/>
      <c r="I46" s="21" t="s">
        <v>29</v>
      </c>
      <c r="J46" s="21"/>
      <c r="K46" s="21" t="s">
        <v>35</v>
      </c>
      <c r="L46" s="21"/>
      <c r="M46" s="21" t="s">
        <v>36</v>
      </c>
      <c r="N46" s="21"/>
      <c r="O46" s="21"/>
    </row>
    <row r="47" customFormat="false" ht="15" hidden="false" customHeight="false" outlineLevel="0" collapsed="false">
      <c r="B47" s="22" t="str">
        <f aca="false">Workings!H7</f>
        <v>Labeller</v>
      </c>
      <c r="C47" s="22"/>
      <c r="D47" s="22"/>
      <c r="E47" s="23" t="n">
        <f aca="false">Workings!L7</f>
        <v>31</v>
      </c>
      <c r="F47" s="23"/>
      <c r="G47" s="24" t="n">
        <f aca="false">Workings!J7</f>
        <v>24.7833333333333</v>
      </c>
      <c r="H47" s="24"/>
      <c r="I47" s="23" t="n">
        <f aca="false">IF(Workings!L7=0,"-",Workings!I7/Workings!L7)</f>
        <v>47.9677419354839</v>
      </c>
      <c r="J47" s="23"/>
      <c r="K47" s="25" t="n">
        <f aca="false">IF(Workings!C57=0,0,Workings!I7/Workings!C57)</f>
        <v>0.333482843686925</v>
      </c>
      <c r="L47" s="25"/>
      <c r="M47" s="26" t="n">
        <f aca="false">Workings!I7/60*N(Setup!$C$11)</f>
        <v>6195.83333333333</v>
      </c>
      <c r="N47" s="26"/>
      <c r="O47" s="26"/>
    </row>
    <row r="48" customFormat="false" ht="15" hidden="false" customHeight="false" outlineLevel="0" collapsed="false">
      <c r="B48" s="27" t="str">
        <f aca="false">Workings!H8</f>
        <v>Filler</v>
      </c>
      <c r="C48" s="27"/>
      <c r="D48" s="27"/>
      <c r="E48" s="28" t="n">
        <f aca="false">Workings!L8</f>
        <v>21</v>
      </c>
      <c r="F48" s="28"/>
      <c r="G48" s="29" t="n">
        <f aca="false">Workings!J8</f>
        <v>8.96666666666667</v>
      </c>
      <c r="H48" s="29"/>
      <c r="I48" s="28" t="n">
        <f aca="false">IF(Workings!L8=0,"-",Workings!I8/Workings!L8)</f>
        <v>25.6190476190476</v>
      </c>
      <c r="J48" s="28"/>
      <c r="K48" s="30" t="n">
        <f aca="false">IF(Workings!C57=0,0,Workings!I8/Workings!C57)</f>
        <v>0.120654855348733</v>
      </c>
      <c r="L48" s="30"/>
      <c r="M48" s="31" t="n">
        <f aca="false">Workings!I8/60*N(Setup!$C$11)</f>
        <v>2241.66666666667</v>
      </c>
      <c r="N48" s="31"/>
      <c r="O48" s="31"/>
    </row>
    <row r="49" customFormat="false" ht="15" hidden="false" customHeight="false" outlineLevel="0" collapsed="false">
      <c r="B49" s="27" t="str">
        <f aca="false">Workings!H9</f>
        <v>Case packer</v>
      </c>
      <c r="C49" s="27"/>
      <c r="D49" s="27"/>
      <c r="E49" s="28" t="n">
        <f aca="false">Workings!L9</f>
        <v>18</v>
      </c>
      <c r="F49" s="28"/>
      <c r="G49" s="29" t="n">
        <f aca="false">Workings!J9</f>
        <v>8.63333333333333</v>
      </c>
      <c r="H49" s="29"/>
      <c r="I49" s="28" t="n">
        <f aca="false">IF(Workings!L9=0,"-",Workings!I9/Workings!L9)</f>
        <v>28.7777777777778</v>
      </c>
      <c r="J49" s="28"/>
      <c r="K49" s="30" t="n">
        <f aca="false">IF(Workings!C57=0,0,Workings!I9/Workings!C57)</f>
        <v>0.116169544740973</v>
      </c>
      <c r="L49" s="30"/>
      <c r="M49" s="31" t="n">
        <f aca="false">Workings!I9/60*N(Setup!$C$11)</f>
        <v>2158.33333333333</v>
      </c>
      <c r="N49" s="31"/>
      <c r="O49" s="31"/>
    </row>
    <row r="50" customFormat="false" ht="15" hidden="false" customHeight="false" outlineLevel="0" collapsed="false">
      <c r="B50" s="27" t="str">
        <f aca="false">Workings!H10</f>
        <v>Palletiser</v>
      </c>
      <c r="C50" s="27"/>
      <c r="D50" s="27"/>
      <c r="E50" s="28" t="n">
        <f aca="false">Workings!L10</f>
        <v>14</v>
      </c>
      <c r="F50" s="28"/>
      <c r="G50" s="29" t="n">
        <f aca="false">Workings!J10</f>
        <v>8.41666666666667</v>
      </c>
      <c r="H50" s="29"/>
      <c r="I50" s="28" t="n">
        <f aca="false">IF(Workings!L10=0,"-",Workings!I10/Workings!L10)</f>
        <v>36.0714285714286</v>
      </c>
      <c r="J50" s="28"/>
      <c r="K50" s="30" t="n">
        <f aca="false">IF(Workings!C57=0,0,Workings!I10/Workings!C57)</f>
        <v>0.11325409284593</v>
      </c>
      <c r="L50" s="30"/>
      <c r="M50" s="31" t="n">
        <f aca="false">Workings!I10/60*N(Setup!$C$11)</f>
        <v>2104.16666666667</v>
      </c>
      <c r="N50" s="31"/>
      <c r="O50" s="31"/>
    </row>
    <row r="51" customFormat="false" ht="15" hidden="false" customHeight="false" outlineLevel="0" collapsed="false">
      <c r="B51" s="27" t="str">
        <f aca="false">Workings!H11</f>
        <v>Shrink wrapper</v>
      </c>
      <c r="C51" s="27"/>
      <c r="D51" s="27"/>
      <c r="E51" s="28" t="n">
        <f aca="false">Workings!L11</f>
        <v>15</v>
      </c>
      <c r="F51" s="28"/>
      <c r="G51" s="29" t="n">
        <f aca="false">Workings!J11</f>
        <v>7.85</v>
      </c>
      <c r="H51" s="29"/>
      <c r="I51" s="28" t="n">
        <f aca="false">IF(Workings!L11=0,"-",Workings!I11/Workings!L11)</f>
        <v>31.4</v>
      </c>
      <c r="J51" s="28"/>
      <c r="K51" s="30" t="n">
        <f aca="false">IF(Workings!C57=0,0,Workings!I11/Workings!C57)</f>
        <v>0.105629064812738</v>
      </c>
      <c r="L51" s="30"/>
      <c r="M51" s="31" t="n">
        <f aca="false">Workings!I11/60*N(Setup!$C$11)</f>
        <v>1962.5</v>
      </c>
      <c r="N51" s="31"/>
      <c r="O51" s="31"/>
    </row>
    <row r="53" customFormat="false" ht="15" hidden="false" customHeight="false" outlineLevel="0" collapsed="false">
      <c r="B53" s="11" t="s">
        <v>25</v>
      </c>
    </row>
  </sheetData>
  <sheetProtection sheet="true"/>
  <mergeCells count="53">
    <mergeCell ref="B1:O1"/>
    <mergeCell ref="B2:O2"/>
    <mergeCell ref="B5:C5"/>
    <mergeCell ref="D5:E5"/>
    <mergeCell ref="F5:G5"/>
    <mergeCell ref="H5:I5"/>
    <mergeCell ref="J5:K5"/>
    <mergeCell ref="L5:M5"/>
    <mergeCell ref="N5:O5"/>
    <mergeCell ref="B6:C7"/>
    <mergeCell ref="D6:E7"/>
    <mergeCell ref="F6:G7"/>
    <mergeCell ref="H6:I7"/>
    <mergeCell ref="J6:K7"/>
    <mergeCell ref="L6:M7"/>
    <mergeCell ref="N6:O7"/>
    <mergeCell ref="B10:O11"/>
    <mergeCell ref="B46:D46"/>
    <mergeCell ref="E46:F46"/>
    <mergeCell ref="G46:H46"/>
    <mergeCell ref="I46:J46"/>
    <mergeCell ref="K46:L46"/>
    <mergeCell ref="M46:O46"/>
    <mergeCell ref="B47:D47"/>
    <mergeCell ref="E47:F47"/>
    <mergeCell ref="G47:H47"/>
    <mergeCell ref="I47:J47"/>
    <mergeCell ref="K47:L47"/>
    <mergeCell ref="M47:O47"/>
    <mergeCell ref="B48:D48"/>
    <mergeCell ref="E48:F48"/>
    <mergeCell ref="G48:H48"/>
    <mergeCell ref="I48:J48"/>
    <mergeCell ref="K48:L48"/>
    <mergeCell ref="M48:O48"/>
    <mergeCell ref="B49:D49"/>
    <mergeCell ref="E49:F49"/>
    <mergeCell ref="G49:H49"/>
    <mergeCell ref="I49:J49"/>
    <mergeCell ref="K49:L49"/>
    <mergeCell ref="M49:O49"/>
    <mergeCell ref="B50:D50"/>
    <mergeCell ref="E50:F50"/>
    <mergeCell ref="G50:H50"/>
    <mergeCell ref="I50:J50"/>
    <mergeCell ref="K50:L50"/>
    <mergeCell ref="M50:O50"/>
    <mergeCell ref="B51:D51"/>
    <mergeCell ref="E51:F51"/>
    <mergeCell ref="G51:H51"/>
    <mergeCell ref="I51:J51"/>
    <mergeCell ref="K51:L51"/>
    <mergeCell ref="M51:O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"/>
      <c r="B1" s="2" t="s">
        <v>37</v>
      </c>
      <c r="C1" s="2"/>
      <c r="D1" s="2"/>
      <c r="E1" s="2"/>
      <c r="F1" s="2"/>
      <c r="G1" s="2"/>
      <c r="H1" s="2"/>
      <c r="I1" s="2"/>
      <c r="J1" s="2"/>
      <c r="K1" s="1"/>
    </row>
    <row r="2" customFormat="false" ht="19.5" hidden="false" customHeight="true" outlineLevel="0" collapsed="false">
      <c r="A2" s="1"/>
      <c r="B2" s="3" t="s">
        <v>38</v>
      </c>
      <c r="C2" s="3"/>
      <c r="D2" s="3"/>
      <c r="E2" s="3"/>
      <c r="F2" s="3"/>
      <c r="G2" s="3"/>
      <c r="H2" s="3"/>
      <c r="I2" s="3"/>
      <c r="J2" s="3"/>
      <c r="K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30" hidden="false" customHeight="true" outlineLevel="0" collapsed="false">
      <c r="B4" s="32" t="s">
        <v>39</v>
      </c>
      <c r="C4" s="32"/>
      <c r="D4" s="32"/>
      <c r="E4" s="32"/>
      <c r="F4" s="32"/>
      <c r="G4" s="32"/>
      <c r="H4" s="32"/>
      <c r="I4" s="32"/>
      <c r="J4" s="32"/>
    </row>
    <row r="6" customFormat="false" ht="27.75" hidden="false" customHeight="true" outlineLevel="0" collapsed="false">
      <c r="B6" s="33" t="s">
        <v>40</v>
      </c>
      <c r="C6" s="33" t="s">
        <v>41</v>
      </c>
      <c r="D6" s="33" t="s">
        <v>34</v>
      </c>
      <c r="E6" s="33" t="s">
        <v>42</v>
      </c>
      <c r="F6" s="33" t="s">
        <v>43</v>
      </c>
      <c r="G6" s="33" t="s">
        <v>44</v>
      </c>
      <c r="H6" s="33" t="s">
        <v>45</v>
      </c>
      <c r="I6" s="33" t="s">
        <v>46</v>
      </c>
      <c r="J6" s="33" t="s">
        <v>47</v>
      </c>
    </row>
    <row r="7" customFormat="false" ht="15" hidden="false" customHeight="false" outlineLevel="0" collapsed="false">
      <c r="B7" s="34" t="n">
        <v>46113</v>
      </c>
      <c r="C7" s="35" t="s">
        <v>48</v>
      </c>
      <c r="D7" s="36" t="s">
        <v>49</v>
      </c>
      <c r="E7" s="36" t="s">
        <v>50</v>
      </c>
      <c r="F7" s="36" t="s">
        <v>51</v>
      </c>
      <c r="G7" s="37" t="n">
        <v>9</v>
      </c>
      <c r="H7" s="36" t="s">
        <v>52</v>
      </c>
      <c r="I7" s="35" t="s">
        <v>53</v>
      </c>
      <c r="J7" s="35"/>
    </row>
    <row r="8" customFormat="false" ht="15" hidden="false" customHeight="false" outlineLevel="0" collapsed="false">
      <c r="B8" s="34" t="n">
        <v>46114</v>
      </c>
      <c r="C8" s="35" t="s">
        <v>48</v>
      </c>
      <c r="D8" s="36" t="s">
        <v>54</v>
      </c>
      <c r="E8" s="36" t="s">
        <v>55</v>
      </c>
      <c r="F8" s="36" t="s">
        <v>56</v>
      </c>
      <c r="G8" s="37" t="n">
        <v>28</v>
      </c>
      <c r="H8" s="36" t="s">
        <v>57</v>
      </c>
      <c r="I8" s="35" t="s">
        <v>58</v>
      </c>
      <c r="J8" s="35"/>
    </row>
    <row r="9" customFormat="false" ht="15" hidden="false" customHeight="false" outlineLevel="0" collapsed="false">
      <c r="B9" s="34" t="n">
        <v>46115</v>
      </c>
      <c r="C9" s="35" t="s">
        <v>59</v>
      </c>
      <c r="D9" s="36" t="s">
        <v>54</v>
      </c>
      <c r="E9" s="36" t="s">
        <v>60</v>
      </c>
      <c r="F9" s="36" t="s">
        <v>61</v>
      </c>
      <c r="G9" s="37" t="n">
        <v>21</v>
      </c>
      <c r="H9" s="36" t="s">
        <v>52</v>
      </c>
      <c r="I9" s="35" t="s">
        <v>62</v>
      </c>
      <c r="J9" s="35" t="s">
        <v>63</v>
      </c>
    </row>
    <row r="10" customFormat="false" ht="15" hidden="false" customHeight="false" outlineLevel="0" collapsed="false">
      <c r="B10" s="34" t="n">
        <v>46115</v>
      </c>
      <c r="C10" s="35" t="s">
        <v>64</v>
      </c>
      <c r="D10" s="36" t="s">
        <v>65</v>
      </c>
      <c r="E10" s="36" t="s">
        <v>66</v>
      </c>
      <c r="F10" s="36" t="s">
        <v>67</v>
      </c>
      <c r="G10" s="37" t="n">
        <v>20</v>
      </c>
      <c r="H10" s="36" t="s">
        <v>68</v>
      </c>
      <c r="I10" s="35" t="s">
        <v>62</v>
      </c>
      <c r="J10" s="35"/>
    </row>
    <row r="11" customFormat="false" ht="15" hidden="false" customHeight="false" outlineLevel="0" collapsed="false">
      <c r="B11" s="34" t="n">
        <v>46118</v>
      </c>
      <c r="C11" s="35" t="s">
        <v>59</v>
      </c>
      <c r="D11" s="36" t="s">
        <v>69</v>
      </c>
      <c r="E11" s="36" t="s">
        <v>70</v>
      </c>
      <c r="F11" s="36" t="s">
        <v>71</v>
      </c>
      <c r="G11" s="37" t="n">
        <v>17</v>
      </c>
      <c r="H11" s="36" t="s">
        <v>68</v>
      </c>
      <c r="I11" s="35" t="s">
        <v>58</v>
      </c>
      <c r="J11" s="35"/>
    </row>
    <row r="12" customFormat="false" ht="15" hidden="false" customHeight="false" outlineLevel="0" collapsed="false">
      <c r="B12" s="34" t="n">
        <v>46119</v>
      </c>
      <c r="C12" s="35" t="s">
        <v>59</v>
      </c>
      <c r="D12" s="36" t="s">
        <v>72</v>
      </c>
      <c r="E12" s="36" t="s">
        <v>73</v>
      </c>
      <c r="F12" s="36" t="s">
        <v>74</v>
      </c>
      <c r="G12" s="37" t="n">
        <v>52</v>
      </c>
      <c r="H12" s="36" t="s">
        <v>52</v>
      </c>
      <c r="I12" s="35" t="s">
        <v>58</v>
      </c>
      <c r="J12" s="35"/>
    </row>
    <row r="13" customFormat="false" ht="15" hidden="false" customHeight="false" outlineLevel="0" collapsed="false">
      <c r="B13" s="34" t="n">
        <v>46121</v>
      </c>
      <c r="C13" s="35" t="s">
        <v>64</v>
      </c>
      <c r="D13" s="36" t="s">
        <v>54</v>
      </c>
      <c r="E13" s="36" t="s">
        <v>75</v>
      </c>
      <c r="F13" s="36" t="s">
        <v>76</v>
      </c>
      <c r="G13" s="37" t="n">
        <v>13</v>
      </c>
      <c r="H13" s="36" t="s">
        <v>57</v>
      </c>
      <c r="I13" s="35" t="s">
        <v>62</v>
      </c>
      <c r="J13" s="35" t="s">
        <v>77</v>
      </c>
    </row>
    <row r="14" customFormat="false" ht="15" hidden="false" customHeight="false" outlineLevel="0" collapsed="false">
      <c r="B14" s="34" t="n">
        <v>46121</v>
      </c>
      <c r="C14" s="35" t="s">
        <v>78</v>
      </c>
      <c r="D14" s="36" t="s">
        <v>79</v>
      </c>
      <c r="E14" s="36" t="s">
        <v>75</v>
      </c>
      <c r="F14" s="36" t="s">
        <v>80</v>
      </c>
      <c r="G14" s="37" t="n">
        <v>21</v>
      </c>
      <c r="H14" s="36" t="s">
        <v>52</v>
      </c>
      <c r="I14" s="35" t="s">
        <v>58</v>
      </c>
      <c r="J14" s="35"/>
    </row>
    <row r="15" customFormat="false" ht="15" hidden="false" customHeight="false" outlineLevel="0" collapsed="false">
      <c r="B15" s="34" t="n">
        <v>46122</v>
      </c>
      <c r="C15" s="35" t="s">
        <v>59</v>
      </c>
      <c r="D15" s="36" t="s">
        <v>54</v>
      </c>
      <c r="E15" s="36" t="s">
        <v>66</v>
      </c>
      <c r="F15" s="36" t="s">
        <v>81</v>
      </c>
      <c r="G15" s="37" t="n">
        <v>43</v>
      </c>
      <c r="H15" s="36" t="s">
        <v>82</v>
      </c>
      <c r="I15" s="35" t="s">
        <v>62</v>
      </c>
      <c r="J15" s="35"/>
    </row>
    <row r="16" customFormat="false" ht="15" hidden="false" customHeight="false" outlineLevel="0" collapsed="false">
      <c r="B16" s="34" t="n">
        <v>46125</v>
      </c>
      <c r="C16" s="35" t="s">
        <v>48</v>
      </c>
      <c r="D16" s="36" t="s">
        <v>72</v>
      </c>
      <c r="E16" s="36" t="s">
        <v>66</v>
      </c>
      <c r="F16" s="36" t="s">
        <v>83</v>
      </c>
      <c r="G16" s="37" t="n">
        <v>41</v>
      </c>
      <c r="H16" s="36" t="s">
        <v>82</v>
      </c>
      <c r="I16" s="35" t="s">
        <v>62</v>
      </c>
      <c r="J16" s="35"/>
    </row>
    <row r="17" customFormat="false" ht="15" hidden="false" customHeight="false" outlineLevel="0" collapsed="false">
      <c r="B17" s="34" t="n">
        <v>46126</v>
      </c>
      <c r="C17" s="35" t="s">
        <v>78</v>
      </c>
      <c r="D17" s="36" t="s">
        <v>72</v>
      </c>
      <c r="E17" s="36" t="s">
        <v>55</v>
      </c>
      <c r="F17" s="36" t="s">
        <v>84</v>
      </c>
      <c r="G17" s="37" t="n">
        <v>36</v>
      </c>
      <c r="H17" s="36" t="s">
        <v>82</v>
      </c>
      <c r="I17" s="35" t="s">
        <v>62</v>
      </c>
      <c r="J17" s="35" t="s">
        <v>85</v>
      </c>
    </row>
    <row r="18" customFormat="false" ht="15" hidden="false" customHeight="false" outlineLevel="0" collapsed="false">
      <c r="B18" s="34" t="n">
        <v>46127</v>
      </c>
      <c r="C18" s="35" t="s">
        <v>48</v>
      </c>
      <c r="D18" s="36" t="s">
        <v>69</v>
      </c>
      <c r="E18" s="36" t="s">
        <v>50</v>
      </c>
      <c r="F18" s="36" t="s">
        <v>51</v>
      </c>
      <c r="G18" s="37" t="n">
        <v>20</v>
      </c>
      <c r="H18" s="36" t="s">
        <v>82</v>
      </c>
      <c r="I18" s="35" t="s">
        <v>62</v>
      </c>
      <c r="J18" s="35" t="s">
        <v>86</v>
      </c>
    </row>
    <row r="19" customFormat="false" ht="15" hidden="false" customHeight="false" outlineLevel="0" collapsed="false">
      <c r="B19" s="34" t="n">
        <v>46128</v>
      </c>
      <c r="C19" s="35" t="s">
        <v>59</v>
      </c>
      <c r="D19" s="36" t="s">
        <v>72</v>
      </c>
      <c r="E19" s="36" t="s">
        <v>73</v>
      </c>
      <c r="F19" s="36" t="s">
        <v>87</v>
      </c>
      <c r="G19" s="37" t="n">
        <v>17</v>
      </c>
      <c r="H19" s="36" t="s">
        <v>57</v>
      </c>
      <c r="I19" s="35" t="s">
        <v>62</v>
      </c>
      <c r="J19" s="35"/>
    </row>
    <row r="20" customFormat="false" ht="15" hidden="false" customHeight="false" outlineLevel="0" collapsed="false">
      <c r="B20" s="34" t="n">
        <v>46128</v>
      </c>
      <c r="C20" s="35" t="s">
        <v>78</v>
      </c>
      <c r="D20" s="36" t="s">
        <v>49</v>
      </c>
      <c r="E20" s="36" t="s">
        <v>66</v>
      </c>
      <c r="F20" s="36" t="s">
        <v>83</v>
      </c>
      <c r="G20" s="37" t="n">
        <v>42</v>
      </c>
      <c r="H20" s="36" t="s">
        <v>82</v>
      </c>
      <c r="I20" s="35" t="s">
        <v>53</v>
      </c>
      <c r="J20" s="35"/>
    </row>
    <row r="21" customFormat="false" ht="15" hidden="false" customHeight="false" outlineLevel="0" collapsed="false">
      <c r="B21" s="34" t="n">
        <v>46129</v>
      </c>
      <c r="C21" s="35" t="s">
        <v>64</v>
      </c>
      <c r="D21" s="36" t="s">
        <v>72</v>
      </c>
      <c r="E21" s="36" t="s">
        <v>73</v>
      </c>
      <c r="F21" s="36" t="s">
        <v>87</v>
      </c>
      <c r="G21" s="37" t="n">
        <v>28</v>
      </c>
      <c r="H21" s="36" t="s">
        <v>52</v>
      </c>
      <c r="I21" s="35" t="s">
        <v>62</v>
      </c>
      <c r="J21" s="35" t="s">
        <v>88</v>
      </c>
    </row>
    <row r="22" customFormat="false" ht="15" hidden="false" customHeight="false" outlineLevel="0" collapsed="false">
      <c r="B22" s="34" t="n">
        <v>46132</v>
      </c>
      <c r="C22" s="35" t="s">
        <v>59</v>
      </c>
      <c r="D22" s="36" t="s">
        <v>72</v>
      </c>
      <c r="E22" s="36" t="s">
        <v>66</v>
      </c>
      <c r="F22" s="36" t="s">
        <v>83</v>
      </c>
      <c r="G22" s="37" t="n">
        <v>24</v>
      </c>
      <c r="H22" s="36" t="s">
        <v>57</v>
      </c>
      <c r="I22" s="35" t="s">
        <v>62</v>
      </c>
      <c r="J22" s="35" t="s">
        <v>89</v>
      </c>
    </row>
    <row r="23" customFormat="false" ht="15" hidden="false" customHeight="false" outlineLevel="0" collapsed="false">
      <c r="B23" s="34" t="n">
        <v>46132</v>
      </c>
      <c r="C23" s="35" t="s">
        <v>64</v>
      </c>
      <c r="D23" s="36" t="s">
        <v>54</v>
      </c>
      <c r="E23" s="36" t="s">
        <v>55</v>
      </c>
      <c r="F23" s="36" t="s">
        <v>84</v>
      </c>
      <c r="G23" s="37" t="n">
        <v>25</v>
      </c>
      <c r="H23" s="36" t="s">
        <v>90</v>
      </c>
      <c r="I23" s="35" t="s">
        <v>62</v>
      </c>
      <c r="J23" s="35" t="s">
        <v>91</v>
      </c>
    </row>
    <row r="24" customFormat="false" ht="15" hidden="false" customHeight="false" outlineLevel="0" collapsed="false">
      <c r="B24" s="34" t="n">
        <v>46133</v>
      </c>
      <c r="C24" s="35" t="s">
        <v>64</v>
      </c>
      <c r="D24" s="36" t="s">
        <v>92</v>
      </c>
      <c r="E24" s="36" t="s">
        <v>55</v>
      </c>
      <c r="F24" s="36" t="s">
        <v>84</v>
      </c>
      <c r="G24" s="37" t="n">
        <v>28</v>
      </c>
      <c r="H24" s="36" t="s">
        <v>52</v>
      </c>
      <c r="I24" s="35" t="s">
        <v>58</v>
      </c>
      <c r="J24" s="35"/>
    </row>
    <row r="25" customFormat="false" ht="15" hidden="false" customHeight="false" outlineLevel="0" collapsed="false">
      <c r="B25" s="34" t="n">
        <v>46134</v>
      </c>
      <c r="C25" s="35" t="s">
        <v>59</v>
      </c>
      <c r="D25" s="36" t="s">
        <v>65</v>
      </c>
      <c r="E25" s="36" t="s">
        <v>73</v>
      </c>
      <c r="F25" s="36" t="s">
        <v>74</v>
      </c>
      <c r="G25" s="37" t="n">
        <v>22</v>
      </c>
      <c r="H25" s="36" t="s">
        <v>68</v>
      </c>
      <c r="I25" s="35" t="s">
        <v>58</v>
      </c>
      <c r="J25" s="35"/>
    </row>
    <row r="26" customFormat="false" ht="15" hidden="false" customHeight="false" outlineLevel="0" collapsed="false">
      <c r="B26" s="34" t="n">
        <v>46135</v>
      </c>
      <c r="C26" s="35" t="s">
        <v>78</v>
      </c>
      <c r="D26" s="36" t="s">
        <v>79</v>
      </c>
      <c r="E26" s="36" t="s">
        <v>60</v>
      </c>
      <c r="F26" s="36" t="s">
        <v>93</v>
      </c>
      <c r="G26" s="37" t="n">
        <v>95</v>
      </c>
      <c r="H26" s="36" t="s">
        <v>52</v>
      </c>
      <c r="I26" s="35" t="s">
        <v>62</v>
      </c>
      <c r="J26" s="35"/>
    </row>
    <row r="27" customFormat="false" ht="15" hidden="false" customHeight="false" outlineLevel="0" collapsed="false">
      <c r="B27" s="34" t="n">
        <v>46135</v>
      </c>
      <c r="C27" s="35" t="s">
        <v>59</v>
      </c>
      <c r="D27" s="36" t="s">
        <v>94</v>
      </c>
      <c r="E27" s="36" t="s">
        <v>75</v>
      </c>
      <c r="F27" s="36" t="s">
        <v>95</v>
      </c>
      <c r="G27" s="37" t="n">
        <v>26</v>
      </c>
      <c r="H27" s="36" t="s">
        <v>90</v>
      </c>
      <c r="I27" s="35" t="s">
        <v>58</v>
      </c>
      <c r="J27" s="35"/>
    </row>
    <row r="28" customFormat="false" ht="15" hidden="false" customHeight="false" outlineLevel="0" collapsed="false">
      <c r="B28" s="34" t="n">
        <v>46136</v>
      </c>
      <c r="C28" s="35" t="s">
        <v>64</v>
      </c>
      <c r="D28" s="36" t="s">
        <v>72</v>
      </c>
      <c r="E28" s="36" t="s">
        <v>66</v>
      </c>
      <c r="F28" s="36" t="s">
        <v>83</v>
      </c>
      <c r="G28" s="37" t="n">
        <v>30</v>
      </c>
      <c r="H28" s="36" t="s">
        <v>90</v>
      </c>
      <c r="I28" s="35" t="s">
        <v>62</v>
      </c>
      <c r="J28" s="35"/>
    </row>
    <row r="29" customFormat="false" ht="15" hidden="false" customHeight="false" outlineLevel="0" collapsed="false">
      <c r="B29" s="34" t="n">
        <v>46141</v>
      </c>
      <c r="C29" s="35" t="s">
        <v>59</v>
      </c>
      <c r="D29" s="36" t="s">
        <v>79</v>
      </c>
      <c r="E29" s="36" t="s">
        <v>75</v>
      </c>
      <c r="F29" s="36" t="s">
        <v>80</v>
      </c>
      <c r="G29" s="37" t="n">
        <v>26</v>
      </c>
      <c r="H29" s="36" t="s">
        <v>82</v>
      </c>
      <c r="I29" s="35" t="s">
        <v>53</v>
      </c>
      <c r="J29" s="35"/>
    </row>
    <row r="30" customFormat="false" ht="15" hidden="false" customHeight="false" outlineLevel="0" collapsed="false">
      <c r="B30" s="34" t="n">
        <v>46142</v>
      </c>
      <c r="C30" s="35" t="s">
        <v>48</v>
      </c>
      <c r="D30" s="36" t="s">
        <v>54</v>
      </c>
      <c r="E30" s="36" t="s">
        <v>60</v>
      </c>
      <c r="F30" s="36" t="s">
        <v>93</v>
      </c>
      <c r="G30" s="37" t="n">
        <v>35</v>
      </c>
      <c r="H30" s="36" t="s">
        <v>68</v>
      </c>
      <c r="I30" s="35" t="s">
        <v>62</v>
      </c>
      <c r="J30" s="35" t="s">
        <v>96</v>
      </c>
    </row>
    <row r="31" customFormat="false" ht="15" hidden="false" customHeight="false" outlineLevel="0" collapsed="false">
      <c r="B31" s="34" t="n">
        <v>46143</v>
      </c>
      <c r="C31" s="35" t="s">
        <v>48</v>
      </c>
      <c r="D31" s="36" t="s">
        <v>92</v>
      </c>
      <c r="E31" s="36" t="s">
        <v>60</v>
      </c>
      <c r="F31" s="36" t="s">
        <v>61</v>
      </c>
      <c r="G31" s="37" t="n">
        <v>34</v>
      </c>
      <c r="H31" s="36" t="s">
        <v>52</v>
      </c>
      <c r="I31" s="35" t="s">
        <v>58</v>
      </c>
      <c r="J31" s="35"/>
    </row>
    <row r="32" customFormat="false" ht="15" hidden="false" customHeight="false" outlineLevel="0" collapsed="false">
      <c r="B32" s="34" t="n">
        <v>46143</v>
      </c>
      <c r="C32" s="35" t="s">
        <v>78</v>
      </c>
      <c r="D32" s="36" t="s">
        <v>79</v>
      </c>
      <c r="E32" s="36" t="s">
        <v>75</v>
      </c>
      <c r="F32" s="36" t="s">
        <v>80</v>
      </c>
      <c r="G32" s="37" t="n">
        <v>27</v>
      </c>
      <c r="H32" s="36" t="s">
        <v>52</v>
      </c>
      <c r="I32" s="35" t="s">
        <v>62</v>
      </c>
      <c r="J32" s="35"/>
    </row>
    <row r="33" customFormat="false" ht="15" hidden="false" customHeight="false" outlineLevel="0" collapsed="false">
      <c r="B33" s="34" t="n">
        <v>46146</v>
      </c>
      <c r="C33" s="35" t="s">
        <v>48</v>
      </c>
      <c r="D33" s="36" t="s">
        <v>49</v>
      </c>
      <c r="E33" s="36" t="s">
        <v>66</v>
      </c>
      <c r="F33" s="36" t="s">
        <v>67</v>
      </c>
      <c r="G33" s="37" t="n">
        <v>53</v>
      </c>
      <c r="H33" s="36" t="s">
        <v>68</v>
      </c>
      <c r="I33" s="35" t="s">
        <v>53</v>
      </c>
      <c r="J33" s="35"/>
    </row>
    <row r="34" customFormat="false" ht="15" hidden="false" customHeight="false" outlineLevel="0" collapsed="false">
      <c r="B34" s="34" t="n">
        <v>46147</v>
      </c>
      <c r="C34" s="35" t="s">
        <v>48</v>
      </c>
      <c r="D34" s="36" t="s">
        <v>65</v>
      </c>
      <c r="E34" s="36" t="s">
        <v>73</v>
      </c>
      <c r="F34" s="36" t="s">
        <v>87</v>
      </c>
      <c r="G34" s="37" t="n">
        <v>56</v>
      </c>
      <c r="H34" s="36" t="s">
        <v>68</v>
      </c>
      <c r="I34" s="35" t="s">
        <v>53</v>
      </c>
      <c r="J34" s="35"/>
    </row>
    <row r="35" customFormat="false" ht="15" hidden="false" customHeight="false" outlineLevel="0" collapsed="false">
      <c r="B35" s="34" t="n">
        <v>46147</v>
      </c>
      <c r="C35" s="35" t="s">
        <v>78</v>
      </c>
      <c r="D35" s="36" t="s">
        <v>54</v>
      </c>
      <c r="E35" s="36" t="s">
        <v>75</v>
      </c>
      <c r="F35" s="36" t="s">
        <v>80</v>
      </c>
      <c r="G35" s="37" t="n">
        <v>29</v>
      </c>
      <c r="H35" s="36" t="s">
        <v>57</v>
      </c>
      <c r="I35" s="35" t="s">
        <v>58</v>
      </c>
      <c r="J35" s="35"/>
    </row>
    <row r="36" customFormat="false" ht="15" hidden="false" customHeight="false" outlineLevel="0" collapsed="false">
      <c r="B36" s="34" t="n">
        <v>46149</v>
      </c>
      <c r="C36" s="35" t="s">
        <v>64</v>
      </c>
      <c r="D36" s="36" t="s">
        <v>72</v>
      </c>
      <c r="E36" s="36" t="s">
        <v>66</v>
      </c>
      <c r="F36" s="36" t="s">
        <v>83</v>
      </c>
      <c r="G36" s="37" t="n">
        <v>75</v>
      </c>
      <c r="H36" s="36" t="s">
        <v>90</v>
      </c>
      <c r="I36" s="35" t="s">
        <v>58</v>
      </c>
      <c r="J36" s="35"/>
    </row>
    <row r="37" customFormat="false" ht="15" hidden="false" customHeight="false" outlineLevel="0" collapsed="false">
      <c r="B37" s="34" t="n">
        <v>46150</v>
      </c>
      <c r="C37" s="35" t="s">
        <v>78</v>
      </c>
      <c r="D37" s="36" t="s">
        <v>94</v>
      </c>
      <c r="E37" s="36" t="s">
        <v>66</v>
      </c>
      <c r="F37" s="36" t="s">
        <v>67</v>
      </c>
      <c r="G37" s="37" t="n">
        <v>17</v>
      </c>
      <c r="H37" s="36" t="s">
        <v>68</v>
      </c>
      <c r="I37" s="35" t="s">
        <v>58</v>
      </c>
      <c r="J37" s="35"/>
    </row>
    <row r="38" customFormat="false" ht="15" hidden="false" customHeight="false" outlineLevel="0" collapsed="false">
      <c r="B38" s="34" t="n">
        <v>46150</v>
      </c>
      <c r="C38" s="35" t="s">
        <v>48</v>
      </c>
      <c r="D38" s="36" t="s">
        <v>69</v>
      </c>
      <c r="E38" s="36" t="s">
        <v>73</v>
      </c>
      <c r="F38" s="36" t="s">
        <v>97</v>
      </c>
      <c r="G38" s="37" t="n">
        <v>50</v>
      </c>
      <c r="H38" s="36" t="s">
        <v>68</v>
      </c>
      <c r="I38" s="35" t="s">
        <v>58</v>
      </c>
      <c r="J38" s="35"/>
    </row>
    <row r="39" customFormat="false" ht="15" hidden="false" customHeight="false" outlineLevel="0" collapsed="false">
      <c r="B39" s="34" t="n">
        <v>46153</v>
      </c>
      <c r="C39" s="35" t="s">
        <v>48</v>
      </c>
      <c r="D39" s="36" t="s">
        <v>72</v>
      </c>
      <c r="E39" s="36" t="s">
        <v>55</v>
      </c>
      <c r="F39" s="36" t="s">
        <v>84</v>
      </c>
      <c r="G39" s="37" t="n">
        <v>24</v>
      </c>
      <c r="H39" s="36" t="s">
        <v>52</v>
      </c>
      <c r="I39" s="35" t="s">
        <v>58</v>
      </c>
      <c r="J39" s="35"/>
    </row>
    <row r="40" customFormat="false" ht="15" hidden="false" customHeight="false" outlineLevel="0" collapsed="false">
      <c r="B40" s="34" t="n">
        <v>46154</v>
      </c>
      <c r="C40" s="35" t="s">
        <v>78</v>
      </c>
      <c r="D40" s="36" t="s">
        <v>49</v>
      </c>
      <c r="E40" s="36" t="s">
        <v>66</v>
      </c>
      <c r="F40" s="36" t="s">
        <v>81</v>
      </c>
      <c r="G40" s="37" t="n">
        <v>22</v>
      </c>
      <c r="H40" s="36" t="s">
        <v>52</v>
      </c>
      <c r="I40" s="35" t="s">
        <v>62</v>
      </c>
      <c r="J40" s="35"/>
    </row>
    <row r="41" customFormat="false" ht="15" hidden="false" customHeight="false" outlineLevel="0" collapsed="false">
      <c r="B41" s="34" t="n">
        <v>46155</v>
      </c>
      <c r="C41" s="35" t="s">
        <v>78</v>
      </c>
      <c r="D41" s="36" t="s">
        <v>92</v>
      </c>
      <c r="E41" s="36" t="s">
        <v>55</v>
      </c>
      <c r="F41" s="36" t="s">
        <v>84</v>
      </c>
      <c r="G41" s="37" t="n">
        <v>33</v>
      </c>
      <c r="H41" s="36" t="s">
        <v>82</v>
      </c>
      <c r="I41" s="35" t="s">
        <v>58</v>
      </c>
      <c r="J41" s="35"/>
    </row>
    <row r="42" customFormat="false" ht="15" hidden="false" customHeight="false" outlineLevel="0" collapsed="false">
      <c r="B42" s="34" t="n">
        <v>46156</v>
      </c>
      <c r="C42" s="35" t="s">
        <v>64</v>
      </c>
      <c r="D42" s="36" t="s">
        <v>54</v>
      </c>
      <c r="E42" s="36" t="s">
        <v>55</v>
      </c>
      <c r="F42" s="36" t="s">
        <v>98</v>
      </c>
      <c r="G42" s="37" t="n">
        <v>22</v>
      </c>
      <c r="H42" s="36" t="s">
        <v>90</v>
      </c>
      <c r="I42" s="35" t="s">
        <v>58</v>
      </c>
      <c r="J42" s="35"/>
    </row>
    <row r="43" customFormat="false" ht="15" hidden="false" customHeight="false" outlineLevel="0" collapsed="false">
      <c r="B43" s="34" t="n">
        <v>46157</v>
      </c>
      <c r="C43" s="35" t="s">
        <v>48</v>
      </c>
      <c r="D43" s="36" t="s">
        <v>65</v>
      </c>
      <c r="E43" s="36" t="s">
        <v>70</v>
      </c>
      <c r="F43" s="36" t="s">
        <v>99</v>
      </c>
      <c r="G43" s="37" t="n">
        <v>15</v>
      </c>
      <c r="H43" s="36" t="s">
        <v>68</v>
      </c>
      <c r="I43" s="35" t="s">
        <v>62</v>
      </c>
      <c r="J43" s="35"/>
    </row>
    <row r="44" customFormat="false" ht="15" hidden="false" customHeight="false" outlineLevel="0" collapsed="false">
      <c r="B44" s="34" t="n">
        <v>46157</v>
      </c>
      <c r="C44" s="35" t="s">
        <v>78</v>
      </c>
      <c r="D44" s="36" t="s">
        <v>92</v>
      </c>
      <c r="E44" s="36" t="s">
        <v>73</v>
      </c>
      <c r="F44" s="36" t="s">
        <v>74</v>
      </c>
      <c r="G44" s="37" t="n">
        <v>22</v>
      </c>
      <c r="H44" s="36" t="s">
        <v>90</v>
      </c>
      <c r="I44" s="35" t="s">
        <v>58</v>
      </c>
      <c r="J44" s="35"/>
    </row>
    <row r="45" customFormat="false" ht="15" hidden="false" customHeight="false" outlineLevel="0" collapsed="false">
      <c r="B45" s="34" t="n">
        <v>46161</v>
      </c>
      <c r="C45" s="35" t="s">
        <v>64</v>
      </c>
      <c r="D45" s="36" t="s">
        <v>72</v>
      </c>
      <c r="E45" s="36" t="s">
        <v>66</v>
      </c>
      <c r="F45" s="36" t="s">
        <v>83</v>
      </c>
      <c r="G45" s="37" t="n">
        <v>38</v>
      </c>
      <c r="H45" s="36" t="s">
        <v>52</v>
      </c>
      <c r="I45" s="35" t="s">
        <v>53</v>
      </c>
      <c r="J45" s="35"/>
    </row>
    <row r="46" customFormat="false" ht="15" hidden="false" customHeight="false" outlineLevel="0" collapsed="false">
      <c r="B46" s="34" t="n">
        <v>46162</v>
      </c>
      <c r="C46" s="35" t="s">
        <v>78</v>
      </c>
      <c r="D46" s="36" t="s">
        <v>92</v>
      </c>
      <c r="E46" s="36" t="s">
        <v>55</v>
      </c>
      <c r="F46" s="36" t="s">
        <v>84</v>
      </c>
      <c r="G46" s="37" t="n">
        <v>53</v>
      </c>
      <c r="H46" s="36" t="s">
        <v>57</v>
      </c>
      <c r="I46" s="35" t="s">
        <v>62</v>
      </c>
      <c r="J46" s="35"/>
    </row>
    <row r="47" customFormat="false" ht="15" hidden="false" customHeight="false" outlineLevel="0" collapsed="false">
      <c r="B47" s="34" t="n">
        <v>46162</v>
      </c>
      <c r="C47" s="35" t="s">
        <v>59</v>
      </c>
      <c r="D47" s="36" t="s">
        <v>72</v>
      </c>
      <c r="E47" s="36" t="s">
        <v>55</v>
      </c>
      <c r="F47" s="36" t="s">
        <v>84</v>
      </c>
      <c r="G47" s="37" t="n">
        <v>83</v>
      </c>
      <c r="H47" s="36" t="s">
        <v>57</v>
      </c>
      <c r="I47" s="35" t="s">
        <v>62</v>
      </c>
      <c r="J47" s="35"/>
    </row>
    <row r="48" customFormat="false" ht="15" hidden="false" customHeight="false" outlineLevel="0" collapsed="false">
      <c r="B48" s="34" t="n">
        <v>46163</v>
      </c>
      <c r="C48" s="35" t="s">
        <v>59</v>
      </c>
      <c r="D48" s="36" t="s">
        <v>72</v>
      </c>
      <c r="E48" s="36" t="s">
        <v>55</v>
      </c>
      <c r="F48" s="36" t="s">
        <v>56</v>
      </c>
      <c r="G48" s="37" t="n">
        <v>54</v>
      </c>
      <c r="H48" s="36" t="s">
        <v>52</v>
      </c>
      <c r="I48" s="35" t="s">
        <v>53</v>
      </c>
      <c r="J48" s="35"/>
    </row>
    <row r="49" customFormat="false" ht="15" hidden="false" customHeight="false" outlineLevel="0" collapsed="false">
      <c r="B49" s="34" t="n">
        <v>46167</v>
      </c>
      <c r="C49" s="35" t="s">
        <v>78</v>
      </c>
      <c r="D49" s="36" t="s">
        <v>65</v>
      </c>
      <c r="E49" s="36" t="s">
        <v>55</v>
      </c>
      <c r="F49" s="36" t="s">
        <v>98</v>
      </c>
      <c r="G49" s="37" t="n">
        <v>18</v>
      </c>
      <c r="H49" s="36" t="s">
        <v>57</v>
      </c>
      <c r="I49" s="35" t="s">
        <v>62</v>
      </c>
      <c r="J49" s="35"/>
    </row>
    <row r="50" customFormat="false" ht="15" hidden="false" customHeight="false" outlineLevel="0" collapsed="false">
      <c r="B50" s="34" t="n">
        <v>46167</v>
      </c>
      <c r="C50" s="35" t="s">
        <v>59</v>
      </c>
      <c r="D50" s="36" t="s">
        <v>92</v>
      </c>
      <c r="E50" s="36" t="s">
        <v>50</v>
      </c>
      <c r="F50" s="36" t="s">
        <v>51</v>
      </c>
      <c r="G50" s="37" t="n">
        <v>27</v>
      </c>
      <c r="H50" s="36" t="s">
        <v>68</v>
      </c>
      <c r="I50" s="35" t="s">
        <v>53</v>
      </c>
      <c r="J50" s="35"/>
    </row>
    <row r="51" customFormat="false" ht="15" hidden="false" customHeight="false" outlineLevel="0" collapsed="false">
      <c r="B51" s="34" t="n">
        <v>46168</v>
      </c>
      <c r="C51" s="35" t="s">
        <v>64</v>
      </c>
      <c r="D51" s="36" t="s">
        <v>94</v>
      </c>
      <c r="E51" s="36" t="s">
        <v>60</v>
      </c>
      <c r="F51" s="36" t="s">
        <v>61</v>
      </c>
      <c r="G51" s="37" t="n">
        <v>79</v>
      </c>
      <c r="H51" s="36" t="s">
        <v>82</v>
      </c>
      <c r="I51" s="35" t="s">
        <v>58</v>
      </c>
      <c r="J51" s="35"/>
    </row>
    <row r="52" customFormat="false" ht="15" hidden="false" customHeight="false" outlineLevel="0" collapsed="false">
      <c r="B52" s="34" t="n">
        <v>46169</v>
      </c>
      <c r="C52" s="35" t="s">
        <v>48</v>
      </c>
      <c r="D52" s="36" t="s">
        <v>69</v>
      </c>
      <c r="E52" s="36" t="s">
        <v>50</v>
      </c>
      <c r="F52" s="36" t="s">
        <v>100</v>
      </c>
      <c r="G52" s="37" t="n">
        <v>18</v>
      </c>
      <c r="H52" s="36" t="s">
        <v>82</v>
      </c>
      <c r="I52" s="35" t="s">
        <v>58</v>
      </c>
      <c r="J52" s="35"/>
    </row>
    <row r="53" customFormat="false" ht="15" hidden="false" customHeight="false" outlineLevel="0" collapsed="false">
      <c r="B53" s="34" t="n">
        <v>46169</v>
      </c>
      <c r="C53" s="35" t="s">
        <v>59</v>
      </c>
      <c r="D53" s="36" t="s">
        <v>72</v>
      </c>
      <c r="E53" s="36" t="s">
        <v>73</v>
      </c>
      <c r="F53" s="36" t="s">
        <v>87</v>
      </c>
      <c r="G53" s="37" t="n">
        <v>44</v>
      </c>
      <c r="H53" s="36" t="s">
        <v>90</v>
      </c>
      <c r="I53" s="35" t="s">
        <v>53</v>
      </c>
      <c r="J53" s="35"/>
    </row>
    <row r="54" customFormat="false" ht="15" hidden="false" customHeight="false" outlineLevel="0" collapsed="false">
      <c r="B54" s="34" t="n">
        <v>46170</v>
      </c>
      <c r="C54" s="35" t="s">
        <v>48</v>
      </c>
      <c r="D54" s="36" t="s">
        <v>72</v>
      </c>
      <c r="E54" s="36" t="s">
        <v>73</v>
      </c>
      <c r="F54" s="36" t="s">
        <v>74</v>
      </c>
      <c r="G54" s="37" t="n">
        <v>22</v>
      </c>
      <c r="H54" s="36" t="s">
        <v>52</v>
      </c>
      <c r="I54" s="35" t="s">
        <v>58</v>
      </c>
      <c r="J54" s="35"/>
    </row>
    <row r="55" customFormat="false" ht="15" hidden="false" customHeight="false" outlineLevel="0" collapsed="false">
      <c r="B55" s="34" t="n">
        <v>46174</v>
      </c>
      <c r="C55" s="35" t="s">
        <v>48</v>
      </c>
      <c r="D55" s="36" t="s">
        <v>79</v>
      </c>
      <c r="E55" s="36" t="s">
        <v>55</v>
      </c>
      <c r="F55" s="36" t="s">
        <v>56</v>
      </c>
      <c r="G55" s="37" t="n">
        <v>31</v>
      </c>
      <c r="H55" s="36" t="s">
        <v>57</v>
      </c>
      <c r="I55" s="35" t="s">
        <v>62</v>
      </c>
      <c r="J55" s="35" t="s">
        <v>101</v>
      </c>
    </row>
    <row r="56" customFormat="false" ht="15" hidden="false" customHeight="false" outlineLevel="0" collapsed="false">
      <c r="B56" s="34" t="n">
        <v>46175</v>
      </c>
      <c r="C56" s="35" t="s">
        <v>78</v>
      </c>
      <c r="D56" s="36" t="s">
        <v>92</v>
      </c>
      <c r="E56" s="36" t="s">
        <v>55</v>
      </c>
      <c r="F56" s="36" t="s">
        <v>102</v>
      </c>
      <c r="G56" s="37" t="n">
        <v>41</v>
      </c>
      <c r="H56" s="36" t="s">
        <v>90</v>
      </c>
      <c r="I56" s="35" t="s">
        <v>58</v>
      </c>
      <c r="J56" s="35"/>
    </row>
    <row r="57" customFormat="false" ht="15" hidden="false" customHeight="false" outlineLevel="0" collapsed="false">
      <c r="B57" s="34" t="n">
        <v>46175</v>
      </c>
      <c r="C57" s="35" t="s">
        <v>48</v>
      </c>
      <c r="D57" s="36" t="s">
        <v>79</v>
      </c>
      <c r="E57" s="36" t="s">
        <v>66</v>
      </c>
      <c r="F57" s="36" t="s">
        <v>67</v>
      </c>
      <c r="G57" s="37" t="n">
        <v>80</v>
      </c>
      <c r="H57" s="36" t="s">
        <v>57</v>
      </c>
      <c r="I57" s="35" t="s">
        <v>58</v>
      </c>
      <c r="J57" s="35"/>
    </row>
    <row r="58" customFormat="false" ht="15" hidden="false" customHeight="false" outlineLevel="0" collapsed="false">
      <c r="B58" s="34" t="n">
        <v>46176</v>
      </c>
      <c r="C58" s="35" t="s">
        <v>48</v>
      </c>
      <c r="D58" s="36" t="s">
        <v>92</v>
      </c>
      <c r="E58" s="36" t="s">
        <v>75</v>
      </c>
      <c r="F58" s="36" t="s">
        <v>80</v>
      </c>
      <c r="G58" s="37" t="n">
        <v>60</v>
      </c>
      <c r="H58" s="36" t="s">
        <v>52</v>
      </c>
      <c r="I58" s="35" t="s">
        <v>53</v>
      </c>
      <c r="J58" s="35"/>
    </row>
    <row r="59" customFormat="false" ht="15" hidden="false" customHeight="false" outlineLevel="0" collapsed="false">
      <c r="B59" s="34" t="n">
        <v>46176</v>
      </c>
      <c r="C59" s="35" t="s">
        <v>64</v>
      </c>
      <c r="D59" s="36" t="s">
        <v>72</v>
      </c>
      <c r="E59" s="36" t="s">
        <v>73</v>
      </c>
      <c r="F59" s="36" t="s">
        <v>74</v>
      </c>
      <c r="G59" s="37" t="n">
        <v>91</v>
      </c>
      <c r="H59" s="36" t="s">
        <v>52</v>
      </c>
      <c r="I59" s="35" t="s">
        <v>58</v>
      </c>
      <c r="J59" s="35"/>
    </row>
    <row r="60" customFormat="false" ht="15" hidden="false" customHeight="false" outlineLevel="0" collapsed="false">
      <c r="B60" s="34" t="n">
        <v>46177</v>
      </c>
      <c r="C60" s="35" t="s">
        <v>64</v>
      </c>
      <c r="D60" s="36" t="s">
        <v>69</v>
      </c>
      <c r="E60" s="36" t="s">
        <v>70</v>
      </c>
      <c r="F60" s="36" t="s">
        <v>103</v>
      </c>
      <c r="G60" s="37" t="n">
        <v>45</v>
      </c>
      <c r="H60" s="36" t="s">
        <v>82</v>
      </c>
      <c r="I60" s="35" t="s">
        <v>58</v>
      </c>
      <c r="J60" s="35"/>
    </row>
    <row r="61" customFormat="false" ht="15" hidden="false" customHeight="false" outlineLevel="0" collapsed="false">
      <c r="B61" s="34" t="n">
        <v>46177</v>
      </c>
      <c r="C61" s="35" t="s">
        <v>48</v>
      </c>
      <c r="D61" s="36" t="s">
        <v>72</v>
      </c>
      <c r="E61" s="36" t="s">
        <v>66</v>
      </c>
      <c r="F61" s="36" t="s">
        <v>67</v>
      </c>
      <c r="G61" s="37" t="n">
        <v>68</v>
      </c>
      <c r="H61" s="36" t="s">
        <v>82</v>
      </c>
      <c r="I61" s="35" t="s">
        <v>53</v>
      </c>
      <c r="J61" s="35"/>
    </row>
    <row r="62" customFormat="false" ht="15" hidden="false" customHeight="false" outlineLevel="0" collapsed="false">
      <c r="B62" s="34" t="n">
        <v>46178</v>
      </c>
      <c r="C62" s="35" t="s">
        <v>48</v>
      </c>
      <c r="D62" s="36" t="s">
        <v>92</v>
      </c>
      <c r="E62" s="36" t="s">
        <v>55</v>
      </c>
      <c r="F62" s="36" t="s">
        <v>56</v>
      </c>
      <c r="G62" s="37" t="n">
        <v>49</v>
      </c>
      <c r="H62" s="36" t="s">
        <v>57</v>
      </c>
      <c r="I62" s="35" t="s">
        <v>62</v>
      </c>
      <c r="J62" s="35" t="s">
        <v>104</v>
      </c>
    </row>
    <row r="63" customFormat="false" ht="15" hidden="false" customHeight="false" outlineLevel="0" collapsed="false">
      <c r="B63" s="34" t="n">
        <v>46181</v>
      </c>
      <c r="C63" s="35" t="s">
        <v>78</v>
      </c>
      <c r="D63" s="36" t="s">
        <v>54</v>
      </c>
      <c r="E63" s="36" t="s">
        <v>66</v>
      </c>
      <c r="F63" s="36" t="s">
        <v>81</v>
      </c>
      <c r="G63" s="37" t="n">
        <v>45</v>
      </c>
      <c r="H63" s="36" t="s">
        <v>82</v>
      </c>
      <c r="I63" s="35" t="s">
        <v>62</v>
      </c>
      <c r="J63" s="35" t="s">
        <v>105</v>
      </c>
    </row>
    <row r="64" customFormat="false" ht="15" hidden="false" customHeight="false" outlineLevel="0" collapsed="false">
      <c r="B64" s="34" t="n">
        <v>46182</v>
      </c>
      <c r="C64" s="35" t="s">
        <v>59</v>
      </c>
      <c r="D64" s="36" t="s">
        <v>94</v>
      </c>
      <c r="E64" s="36" t="s">
        <v>55</v>
      </c>
      <c r="F64" s="36" t="s">
        <v>98</v>
      </c>
      <c r="G64" s="37" t="n">
        <v>15</v>
      </c>
      <c r="H64" s="36" t="s">
        <v>82</v>
      </c>
      <c r="I64" s="35" t="s">
        <v>58</v>
      </c>
      <c r="J64" s="35"/>
    </row>
    <row r="65" customFormat="false" ht="15" hidden="false" customHeight="false" outlineLevel="0" collapsed="false">
      <c r="B65" s="34" t="n">
        <v>46183</v>
      </c>
      <c r="C65" s="35" t="s">
        <v>78</v>
      </c>
      <c r="D65" s="36" t="s">
        <v>79</v>
      </c>
      <c r="E65" s="36" t="s">
        <v>60</v>
      </c>
      <c r="F65" s="36" t="s">
        <v>61</v>
      </c>
      <c r="G65" s="37" t="n">
        <v>29</v>
      </c>
      <c r="H65" s="36" t="s">
        <v>90</v>
      </c>
      <c r="I65" s="35" t="s">
        <v>62</v>
      </c>
      <c r="J65" s="35" t="s">
        <v>106</v>
      </c>
    </row>
    <row r="66" customFormat="false" ht="15" hidden="false" customHeight="false" outlineLevel="0" collapsed="false">
      <c r="B66" s="34" t="n">
        <v>46184</v>
      </c>
      <c r="C66" s="35" t="s">
        <v>48</v>
      </c>
      <c r="D66" s="36" t="s">
        <v>72</v>
      </c>
      <c r="E66" s="36" t="s">
        <v>55</v>
      </c>
      <c r="F66" s="36" t="s">
        <v>102</v>
      </c>
      <c r="G66" s="37" t="n">
        <v>104</v>
      </c>
      <c r="H66" s="36" t="s">
        <v>52</v>
      </c>
      <c r="I66" s="35" t="s">
        <v>62</v>
      </c>
      <c r="J66" s="35"/>
    </row>
    <row r="67" customFormat="false" ht="15" hidden="false" customHeight="false" outlineLevel="0" collapsed="false">
      <c r="B67" s="34" t="n">
        <v>46185</v>
      </c>
      <c r="C67" s="35" t="s">
        <v>59</v>
      </c>
      <c r="D67" s="36" t="s">
        <v>72</v>
      </c>
      <c r="E67" s="36" t="s">
        <v>55</v>
      </c>
      <c r="F67" s="36" t="s">
        <v>56</v>
      </c>
      <c r="G67" s="37" t="n">
        <v>28</v>
      </c>
      <c r="H67" s="36" t="s">
        <v>90</v>
      </c>
      <c r="I67" s="35" t="s">
        <v>58</v>
      </c>
      <c r="J67" s="35"/>
    </row>
    <row r="68" customFormat="false" ht="15" hidden="false" customHeight="false" outlineLevel="0" collapsed="false">
      <c r="B68" s="34" t="n">
        <v>46185</v>
      </c>
      <c r="C68" s="35" t="s">
        <v>78</v>
      </c>
      <c r="D68" s="36" t="s">
        <v>72</v>
      </c>
      <c r="E68" s="36" t="s">
        <v>55</v>
      </c>
      <c r="F68" s="36" t="s">
        <v>98</v>
      </c>
      <c r="G68" s="37" t="n">
        <v>36</v>
      </c>
      <c r="H68" s="36" t="s">
        <v>90</v>
      </c>
      <c r="I68" s="35" t="s">
        <v>53</v>
      </c>
      <c r="J68" s="35"/>
    </row>
    <row r="69" customFormat="false" ht="15" hidden="false" customHeight="false" outlineLevel="0" collapsed="false">
      <c r="B69" s="34" t="n">
        <v>46188</v>
      </c>
      <c r="C69" s="35" t="s">
        <v>59</v>
      </c>
      <c r="D69" s="36" t="s">
        <v>54</v>
      </c>
      <c r="E69" s="36" t="s">
        <v>50</v>
      </c>
      <c r="F69" s="36" t="s">
        <v>100</v>
      </c>
      <c r="G69" s="37" t="n">
        <v>15</v>
      </c>
      <c r="H69" s="36" t="s">
        <v>52</v>
      </c>
      <c r="I69" s="35" t="s">
        <v>62</v>
      </c>
      <c r="J69" s="35"/>
    </row>
    <row r="70" customFormat="false" ht="15" hidden="false" customHeight="false" outlineLevel="0" collapsed="false">
      <c r="B70" s="34" t="n">
        <v>46189</v>
      </c>
      <c r="C70" s="35" t="s">
        <v>64</v>
      </c>
      <c r="D70" s="36" t="s">
        <v>69</v>
      </c>
      <c r="E70" s="36" t="s">
        <v>73</v>
      </c>
      <c r="F70" s="36" t="s">
        <v>97</v>
      </c>
      <c r="G70" s="37" t="n">
        <v>19</v>
      </c>
      <c r="H70" s="36" t="s">
        <v>82</v>
      </c>
      <c r="I70" s="35" t="s">
        <v>62</v>
      </c>
      <c r="J70" s="35"/>
    </row>
    <row r="71" customFormat="false" ht="15" hidden="false" customHeight="false" outlineLevel="0" collapsed="false">
      <c r="B71" s="34" t="n">
        <v>46190</v>
      </c>
      <c r="C71" s="35" t="s">
        <v>78</v>
      </c>
      <c r="D71" s="36" t="s">
        <v>92</v>
      </c>
      <c r="E71" s="36" t="s">
        <v>50</v>
      </c>
      <c r="F71" s="36" t="s">
        <v>107</v>
      </c>
      <c r="G71" s="37" t="n">
        <v>31</v>
      </c>
      <c r="H71" s="36" t="s">
        <v>90</v>
      </c>
      <c r="I71" s="35" t="s">
        <v>53</v>
      </c>
      <c r="J71" s="35"/>
    </row>
    <row r="72" customFormat="false" ht="15" hidden="false" customHeight="false" outlineLevel="0" collapsed="false">
      <c r="B72" s="34" t="n">
        <v>46191</v>
      </c>
      <c r="C72" s="35" t="s">
        <v>78</v>
      </c>
      <c r="D72" s="36" t="s">
        <v>79</v>
      </c>
      <c r="E72" s="36" t="s">
        <v>75</v>
      </c>
      <c r="F72" s="36" t="s">
        <v>76</v>
      </c>
      <c r="G72" s="37" t="n">
        <v>25</v>
      </c>
      <c r="H72" s="36" t="s">
        <v>57</v>
      </c>
      <c r="I72" s="35" t="s">
        <v>53</v>
      </c>
      <c r="J72" s="35"/>
    </row>
    <row r="73" customFormat="false" ht="15" hidden="false" customHeight="false" outlineLevel="0" collapsed="false">
      <c r="B73" s="34" t="n">
        <v>46192</v>
      </c>
      <c r="C73" s="35" t="s">
        <v>59</v>
      </c>
      <c r="D73" s="36" t="s">
        <v>69</v>
      </c>
      <c r="E73" s="36" t="s">
        <v>55</v>
      </c>
      <c r="F73" s="36" t="s">
        <v>98</v>
      </c>
      <c r="G73" s="37" t="n">
        <v>41</v>
      </c>
      <c r="H73" s="36" t="s">
        <v>52</v>
      </c>
      <c r="I73" s="35" t="s">
        <v>53</v>
      </c>
      <c r="J73" s="35"/>
    </row>
    <row r="74" customFormat="false" ht="15" hidden="false" customHeight="false" outlineLevel="0" collapsed="false">
      <c r="B74" s="34" t="n">
        <v>46195</v>
      </c>
      <c r="C74" s="35" t="s">
        <v>59</v>
      </c>
      <c r="D74" s="36" t="s">
        <v>72</v>
      </c>
      <c r="E74" s="36" t="s">
        <v>55</v>
      </c>
      <c r="F74" s="36" t="s">
        <v>98</v>
      </c>
      <c r="G74" s="37" t="n">
        <v>36</v>
      </c>
      <c r="H74" s="36" t="s">
        <v>68</v>
      </c>
      <c r="I74" s="35" t="s">
        <v>62</v>
      </c>
      <c r="J74" s="35" t="s">
        <v>108</v>
      </c>
    </row>
    <row r="75" customFormat="false" ht="15" hidden="false" customHeight="false" outlineLevel="0" collapsed="false">
      <c r="B75" s="34" t="n">
        <v>46195</v>
      </c>
      <c r="C75" s="35" t="s">
        <v>64</v>
      </c>
      <c r="D75" s="36" t="s">
        <v>72</v>
      </c>
      <c r="E75" s="36" t="s">
        <v>55</v>
      </c>
      <c r="F75" s="36" t="s">
        <v>102</v>
      </c>
      <c r="G75" s="37" t="n">
        <v>52</v>
      </c>
      <c r="H75" s="36" t="s">
        <v>57</v>
      </c>
      <c r="I75" s="35" t="s">
        <v>58</v>
      </c>
      <c r="J75" s="35"/>
    </row>
    <row r="76" customFormat="false" ht="15" hidden="false" customHeight="false" outlineLevel="0" collapsed="false">
      <c r="B76" s="34" t="n">
        <v>46196</v>
      </c>
      <c r="C76" s="35" t="s">
        <v>48</v>
      </c>
      <c r="D76" s="36" t="s">
        <v>65</v>
      </c>
      <c r="E76" s="36" t="s">
        <v>70</v>
      </c>
      <c r="F76" s="36" t="s">
        <v>71</v>
      </c>
      <c r="G76" s="37" t="n">
        <v>13</v>
      </c>
      <c r="H76" s="36" t="s">
        <v>52</v>
      </c>
      <c r="I76" s="35" t="s">
        <v>58</v>
      </c>
      <c r="J76" s="35"/>
    </row>
    <row r="77" customFormat="false" ht="15" hidden="false" customHeight="false" outlineLevel="0" collapsed="false">
      <c r="B77" s="34" t="n">
        <v>46197</v>
      </c>
      <c r="C77" s="35" t="s">
        <v>64</v>
      </c>
      <c r="D77" s="36" t="s">
        <v>54</v>
      </c>
      <c r="E77" s="36" t="s">
        <v>55</v>
      </c>
      <c r="F77" s="36" t="s">
        <v>98</v>
      </c>
      <c r="G77" s="37" t="n">
        <v>18</v>
      </c>
      <c r="H77" s="36" t="s">
        <v>82</v>
      </c>
      <c r="I77" s="35" t="s">
        <v>58</v>
      </c>
      <c r="J77" s="35"/>
    </row>
    <row r="78" customFormat="false" ht="15" hidden="false" customHeight="false" outlineLevel="0" collapsed="false">
      <c r="B78" s="34" t="n">
        <v>46198</v>
      </c>
      <c r="C78" s="35" t="s">
        <v>59</v>
      </c>
      <c r="D78" s="36" t="s">
        <v>79</v>
      </c>
      <c r="E78" s="36" t="s">
        <v>55</v>
      </c>
      <c r="F78" s="36" t="s">
        <v>102</v>
      </c>
      <c r="G78" s="37" t="n">
        <v>10</v>
      </c>
      <c r="H78" s="36" t="s">
        <v>57</v>
      </c>
      <c r="I78" s="35" t="s">
        <v>58</v>
      </c>
      <c r="J78" s="35"/>
    </row>
    <row r="79" customFormat="false" ht="15" hidden="false" customHeight="false" outlineLevel="0" collapsed="false">
      <c r="B79" s="34" t="n">
        <v>46199</v>
      </c>
      <c r="C79" s="35" t="s">
        <v>78</v>
      </c>
      <c r="D79" s="36" t="s">
        <v>69</v>
      </c>
      <c r="E79" s="36" t="s">
        <v>73</v>
      </c>
      <c r="F79" s="36" t="s">
        <v>74</v>
      </c>
      <c r="G79" s="37" t="n">
        <v>18</v>
      </c>
      <c r="H79" s="36" t="s">
        <v>82</v>
      </c>
      <c r="I79" s="35" t="s">
        <v>62</v>
      </c>
      <c r="J79" s="35"/>
    </row>
    <row r="80" customFormat="false" ht="15" hidden="false" customHeight="false" outlineLevel="0" collapsed="false">
      <c r="B80" s="34" t="n">
        <v>46199</v>
      </c>
      <c r="C80" s="35" t="s">
        <v>78</v>
      </c>
      <c r="D80" s="36" t="s">
        <v>54</v>
      </c>
      <c r="E80" s="36" t="s">
        <v>50</v>
      </c>
      <c r="F80" s="36" t="s">
        <v>107</v>
      </c>
      <c r="G80" s="37" t="n">
        <v>13</v>
      </c>
      <c r="H80" s="36" t="s">
        <v>82</v>
      </c>
      <c r="I80" s="35" t="s">
        <v>53</v>
      </c>
      <c r="J80" s="35"/>
    </row>
    <row r="81" customFormat="false" ht="15" hidden="false" customHeight="false" outlineLevel="0" collapsed="false">
      <c r="B81" s="34" t="n">
        <v>46204</v>
      </c>
      <c r="C81" s="35" t="s">
        <v>64</v>
      </c>
      <c r="D81" s="36" t="s">
        <v>49</v>
      </c>
      <c r="E81" s="36" t="s">
        <v>73</v>
      </c>
      <c r="F81" s="36" t="s">
        <v>87</v>
      </c>
      <c r="G81" s="37" t="n">
        <v>28</v>
      </c>
      <c r="H81" s="36" t="s">
        <v>68</v>
      </c>
      <c r="I81" s="35" t="s">
        <v>58</v>
      </c>
      <c r="J81" s="35"/>
    </row>
    <row r="82" customFormat="false" ht="15" hidden="false" customHeight="false" outlineLevel="0" collapsed="false">
      <c r="B82" s="34" t="n">
        <v>46205</v>
      </c>
      <c r="C82" s="35" t="s">
        <v>64</v>
      </c>
      <c r="D82" s="36" t="s">
        <v>65</v>
      </c>
      <c r="E82" s="36" t="s">
        <v>66</v>
      </c>
      <c r="F82" s="36" t="s">
        <v>81</v>
      </c>
      <c r="G82" s="37" t="n">
        <v>51</v>
      </c>
      <c r="H82" s="36" t="s">
        <v>68</v>
      </c>
      <c r="I82" s="35" t="s">
        <v>58</v>
      </c>
      <c r="J82" s="35"/>
    </row>
    <row r="83" customFormat="false" ht="15" hidden="false" customHeight="false" outlineLevel="0" collapsed="false">
      <c r="B83" s="34" t="n">
        <v>46206</v>
      </c>
      <c r="C83" s="35" t="s">
        <v>64</v>
      </c>
      <c r="D83" s="36" t="s">
        <v>65</v>
      </c>
      <c r="E83" s="36" t="s">
        <v>55</v>
      </c>
      <c r="F83" s="36" t="s">
        <v>56</v>
      </c>
      <c r="G83" s="37" t="n">
        <v>35</v>
      </c>
      <c r="H83" s="36" t="s">
        <v>52</v>
      </c>
      <c r="I83" s="35" t="s">
        <v>58</v>
      </c>
      <c r="J83" s="35"/>
    </row>
    <row r="84" customFormat="false" ht="15" hidden="false" customHeight="false" outlineLevel="0" collapsed="false">
      <c r="B84" s="34" t="n">
        <v>46209</v>
      </c>
      <c r="C84" s="35" t="s">
        <v>64</v>
      </c>
      <c r="D84" s="36" t="s">
        <v>65</v>
      </c>
      <c r="E84" s="36" t="s">
        <v>66</v>
      </c>
      <c r="F84" s="36" t="s">
        <v>67</v>
      </c>
      <c r="G84" s="37" t="n">
        <v>23</v>
      </c>
      <c r="H84" s="36" t="s">
        <v>90</v>
      </c>
      <c r="I84" s="35" t="s">
        <v>58</v>
      </c>
      <c r="J84" s="35"/>
    </row>
    <row r="85" customFormat="false" ht="15" hidden="false" customHeight="false" outlineLevel="0" collapsed="false">
      <c r="B85" s="34" t="n">
        <v>46210</v>
      </c>
      <c r="C85" s="35" t="s">
        <v>48</v>
      </c>
      <c r="D85" s="36" t="s">
        <v>72</v>
      </c>
      <c r="E85" s="36" t="s">
        <v>73</v>
      </c>
      <c r="F85" s="36" t="s">
        <v>74</v>
      </c>
      <c r="G85" s="37" t="n">
        <v>155</v>
      </c>
      <c r="H85" s="36" t="s">
        <v>68</v>
      </c>
      <c r="I85" s="35" t="s">
        <v>58</v>
      </c>
      <c r="J85" s="35"/>
    </row>
    <row r="86" customFormat="false" ht="15" hidden="false" customHeight="false" outlineLevel="0" collapsed="false">
      <c r="B86" s="34" t="n">
        <v>46212</v>
      </c>
      <c r="C86" s="35" t="s">
        <v>78</v>
      </c>
      <c r="D86" s="36" t="s">
        <v>69</v>
      </c>
      <c r="E86" s="36" t="s">
        <v>50</v>
      </c>
      <c r="F86" s="36" t="s">
        <v>51</v>
      </c>
      <c r="G86" s="37" t="n">
        <v>10</v>
      </c>
      <c r="H86" s="36" t="s">
        <v>90</v>
      </c>
      <c r="I86" s="35" t="s">
        <v>58</v>
      </c>
      <c r="J86" s="35"/>
    </row>
    <row r="87" customFormat="false" ht="15" hidden="false" customHeight="false" outlineLevel="0" collapsed="false">
      <c r="B87" s="34" t="n">
        <v>46213</v>
      </c>
      <c r="C87" s="35" t="s">
        <v>48</v>
      </c>
      <c r="D87" s="36" t="s">
        <v>69</v>
      </c>
      <c r="E87" s="36" t="s">
        <v>73</v>
      </c>
      <c r="F87" s="36" t="s">
        <v>87</v>
      </c>
      <c r="G87" s="37" t="n">
        <v>20</v>
      </c>
      <c r="H87" s="36" t="s">
        <v>90</v>
      </c>
      <c r="I87" s="35" t="s">
        <v>58</v>
      </c>
      <c r="J87" s="35"/>
    </row>
    <row r="88" customFormat="false" ht="15" hidden="false" customHeight="false" outlineLevel="0" collapsed="false">
      <c r="B88" s="34" t="n">
        <v>46216</v>
      </c>
      <c r="C88" s="35" t="s">
        <v>48</v>
      </c>
      <c r="D88" s="36" t="s">
        <v>72</v>
      </c>
      <c r="E88" s="36" t="s">
        <v>55</v>
      </c>
      <c r="F88" s="36" t="s">
        <v>98</v>
      </c>
      <c r="G88" s="37" t="n">
        <v>86</v>
      </c>
      <c r="H88" s="36" t="s">
        <v>68</v>
      </c>
      <c r="I88" s="35" t="s">
        <v>53</v>
      </c>
      <c r="J88" s="35"/>
    </row>
    <row r="89" customFormat="false" ht="15" hidden="false" customHeight="false" outlineLevel="0" collapsed="false">
      <c r="B89" s="34" t="n">
        <v>46216</v>
      </c>
      <c r="C89" s="35" t="s">
        <v>48</v>
      </c>
      <c r="D89" s="36" t="s">
        <v>72</v>
      </c>
      <c r="E89" s="36" t="s">
        <v>73</v>
      </c>
      <c r="F89" s="36" t="s">
        <v>97</v>
      </c>
      <c r="G89" s="37" t="n">
        <v>14</v>
      </c>
      <c r="H89" s="36" t="s">
        <v>82</v>
      </c>
      <c r="I89" s="35" t="s">
        <v>58</v>
      </c>
      <c r="J89" s="35"/>
    </row>
    <row r="90" customFormat="false" ht="15" hidden="false" customHeight="false" outlineLevel="0" collapsed="false">
      <c r="B90" s="34" t="n">
        <v>46218</v>
      </c>
      <c r="C90" s="35" t="s">
        <v>48</v>
      </c>
      <c r="D90" s="36" t="s">
        <v>72</v>
      </c>
      <c r="E90" s="36" t="s">
        <v>73</v>
      </c>
      <c r="F90" s="36" t="s">
        <v>97</v>
      </c>
      <c r="G90" s="37" t="n">
        <v>51</v>
      </c>
      <c r="H90" s="36" t="s">
        <v>82</v>
      </c>
      <c r="I90" s="35" t="s">
        <v>58</v>
      </c>
      <c r="J90" s="35"/>
    </row>
    <row r="91" customFormat="false" ht="15" hidden="false" customHeight="false" outlineLevel="0" collapsed="false">
      <c r="B91" s="34" t="n">
        <v>46218</v>
      </c>
      <c r="C91" s="35" t="s">
        <v>78</v>
      </c>
      <c r="D91" s="36" t="s">
        <v>49</v>
      </c>
      <c r="E91" s="36" t="s">
        <v>73</v>
      </c>
      <c r="F91" s="36" t="s">
        <v>87</v>
      </c>
      <c r="G91" s="37" t="n">
        <v>52</v>
      </c>
      <c r="H91" s="36" t="s">
        <v>90</v>
      </c>
      <c r="I91" s="35" t="s">
        <v>62</v>
      </c>
      <c r="J91" s="35"/>
    </row>
    <row r="92" customFormat="false" ht="15" hidden="false" customHeight="false" outlineLevel="0" collapsed="false">
      <c r="B92" s="34" t="n">
        <v>46219</v>
      </c>
      <c r="C92" s="35" t="s">
        <v>64</v>
      </c>
      <c r="D92" s="36" t="s">
        <v>92</v>
      </c>
      <c r="E92" s="36" t="s">
        <v>60</v>
      </c>
      <c r="F92" s="36" t="s">
        <v>93</v>
      </c>
      <c r="G92" s="37" t="n">
        <v>25</v>
      </c>
      <c r="H92" s="36" t="s">
        <v>82</v>
      </c>
      <c r="I92" s="35" t="s">
        <v>62</v>
      </c>
      <c r="J92" s="35" t="s">
        <v>109</v>
      </c>
    </row>
    <row r="93" customFormat="false" ht="15" hidden="false" customHeight="false" outlineLevel="0" collapsed="false">
      <c r="B93" s="34" t="n">
        <v>46223</v>
      </c>
      <c r="C93" s="35" t="s">
        <v>78</v>
      </c>
      <c r="D93" s="36" t="s">
        <v>94</v>
      </c>
      <c r="E93" s="36" t="s">
        <v>55</v>
      </c>
      <c r="F93" s="36" t="s">
        <v>56</v>
      </c>
      <c r="G93" s="37" t="n">
        <v>11</v>
      </c>
      <c r="H93" s="36" t="s">
        <v>52</v>
      </c>
      <c r="I93" s="35" t="s">
        <v>53</v>
      </c>
      <c r="J93" s="35"/>
    </row>
    <row r="94" customFormat="false" ht="15" hidden="false" customHeight="false" outlineLevel="0" collapsed="false">
      <c r="B94" s="34" t="n">
        <v>46223</v>
      </c>
      <c r="C94" s="35" t="s">
        <v>78</v>
      </c>
      <c r="D94" s="36" t="s">
        <v>69</v>
      </c>
      <c r="E94" s="36" t="s">
        <v>55</v>
      </c>
      <c r="F94" s="36" t="s">
        <v>56</v>
      </c>
      <c r="G94" s="37" t="n">
        <v>29</v>
      </c>
      <c r="H94" s="36" t="s">
        <v>82</v>
      </c>
      <c r="I94" s="35" t="s">
        <v>62</v>
      </c>
      <c r="J94" s="35" t="s">
        <v>110</v>
      </c>
    </row>
    <row r="95" customFormat="false" ht="15" hidden="false" customHeight="false" outlineLevel="0" collapsed="false">
      <c r="B95" s="34" t="n">
        <v>46224</v>
      </c>
      <c r="C95" s="35" t="s">
        <v>59</v>
      </c>
      <c r="D95" s="36" t="s">
        <v>79</v>
      </c>
      <c r="E95" s="36" t="s">
        <v>75</v>
      </c>
      <c r="F95" s="36" t="s">
        <v>95</v>
      </c>
      <c r="G95" s="37" t="n">
        <v>10</v>
      </c>
      <c r="H95" s="36" t="s">
        <v>90</v>
      </c>
      <c r="I95" s="35" t="s">
        <v>53</v>
      </c>
      <c r="J95" s="35"/>
    </row>
    <row r="96" customFormat="false" ht="15" hidden="false" customHeight="false" outlineLevel="0" collapsed="false">
      <c r="B96" s="34" t="n">
        <v>46225</v>
      </c>
      <c r="C96" s="35" t="s">
        <v>59</v>
      </c>
      <c r="D96" s="36" t="s">
        <v>49</v>
      </c>
      <c r="E96" s="36" t="s">
        <v>66</v>
      </c>
      <c r="F96" s="36" t="s">
        <v>83</v>
      </c>
      <c r="G96" s="37" t="n">
        <v>11</v>
      </c>
      <c r="H96" s="36" t="s">
        <v>52</v>
      </c>
      <c r="I96" s="35" t="s">
        <v>62</v>
      </c>
      <c r="J96" s="35"/>
    </row>
    <row r="97" customFormat="false" ht="15" hidden="false" customHeight="false" outlineLevel="0" collapsed="false">
      <c r="B97" s="34" t="n">
        <v>46226</v>
      </c>
      <c r="C97" s="35" t="s">
        <v>78</v>
      </c>
      <c r="D97" s="36" t="s">
        <v>49</v>
      </c>
      <c r="E97" s="36" t="s">
        <v>66</v>
      </c>
      <c r="F97" s="36" t="s">
        <v>83</v>
      </c>
      <c r="G97" s="37" t="n">
        <v>16</v>
      </c>
      <c r="H97" s="36" t="s">
        <v>82</v>
      </c>
      <c r="I97" s="35" t="s">
        <v>53</v>
      </c>
      <c r="J97" s="35"/>
    </row>
    <row r="98" customFormat="false" ht="15" hidden="false" customHeight="false" outlineLevel="0" collapsed="false">
      <c r="B98" s="34" t="n">
        <v>46226</v>
      </c>
      <c r="C98" s="35" t="s">
        <v>59</v>
      </c>
      <c r="D98" s="36" t="s">
        <v>79</v>
      </c>
      <c r="E98" s="36" t="s">
        <v>55</v>
      </c>
      <c r="F98" s="36" t="s">
        <v>102</v>
      </c>
      <c r="G98" s="37" t="n">
        <v>27</v>
      </c>
      <c r="H98" s="36" t="s">
        <v>57</v>
      </c>
      <c r="I98" s="35" t="s">
        <v>53</v>
      </c>
      <c r="J98" s="35"/>
    </row>
    <row r="99" customFormat="false" ht="15" hidden="false" customHeight="false" outlineLevel="0" collapsed="false">
      <c r="B99" s="34" t="n">
        <v>46227</v>
      </c>
      <c r="C99" s="35" t="s">
        <v>48</v>
      </c>
      <c r="D99" s="36" t="s">
        <v>54</v>
      </c>
      <c r="E99" s="36" t="s">
        <v>50</v>
      </c>
      <c r="F99" s="36" t="s">
        <v>100</v>
      </c>
      <c r="G99" s="37" t="n">
        <v>14</v>
      </c>
      <c r="H99" s="36" t="s">
        <v>68</v>
      </c>
      <c r="I99" s="35" t="s">
        <v>62</v>
      </c>
      <c r="J99" s="35"/>
    </row>
    <row r="100" customFormat="false" ht="15" hidden="false" customHeight="false" outlineLevel="0" collapsed="false">
      <c r="B100" s="34" t="n">
        <v>46230</v>
      </c>
      <c r="C100" s="35" t="s">
        <v>78</v>
      </c>
      <c r="D100" s="36" t="s">
        <v>54</v>
      </c>
      <c r="E100" s="36" t="s">
        <v>66</v>
      </c>
      <c r="F100" s="36" t="s">
        <v>81</v>
      </c>
      <c r="G100" s="37" t="n">
        <v>26</v>
      </c>
      <c r="H100" s="36" t="s">
        <v>52</v>
      </c>
      <c r="I100" s="35" t="s">
        <v>62</v>
      </c>
      <c r="J100" s="35" t="s">
        <v>111</v>
      </c>
    </row>
    <row r="101" customFormat="false" ht="15" hidden="false" customHeight="false" outlineLevel="0" collapsed="false">
      <c r="B101" s="34" t="n">
        <v>46231</v>
      </c>
      <c r="C101" s="35" t="s">
        <v>48</v>
      </c>
      <c r="D101" s="36" t="s">
        <v>65</v>
      </c>
      <c r="E101" s="36" t="s">
        <v>55</v>
      </c>
      <c r="F101" s="36" t="s">
        <v>56</v>
      </c>
      <c r="G101" s="37" t="n">
        <v>13</v>
      </c>
      <c r="H101" s="36" t="s">
        <v>90</v>
      </c>
      <c r="I101" s="35" t="s">
        <v>53</v>
      </c>
      <c r="J101" s="35"/>
    </row>
    <row r="102" customFormat="false" ht="15" hidden="false" customHeight="false" outlineLevel="0" collapsed="false">
      <c r="B102" s="34" t="n">
        <v>46232</v>
      </c>
      <c r="C102" s="35" t="s">
        <v>48</v>
      </c>
      <c r="D102" s="36" t="s">
        <v>72</v>
      </c>
      <c r="E102" s="36" t="s">
        <v>73</v>
      </c>
      <c r="F102" s="36" t="s">
        <v>87</v>
      </c>
      <c r="G102" s="37" t="n">
        <v>25</v>
      </c>
      <c r="H102" s="36" t="s">
        <v>68</v>
      </c>
      <c r="I102" s="35" t="s">
        <v>62</v>
      </c>
      <c r="J102" s="35" t="s">
        <v>112</v>
      </c>
    </row>
    <row r="103" customFormat="false" ht="15" hidden="false" customHeight="false" outlineLevel="0" collapsed="false">
      <c r="B103" s="34" t="n">
        <v>46233</v>
      </c>
      <c r="C103" s="35" t="s">
        <v>64</v>
      </c>
      <c r="D103" s="36" t="s">
        <v>72</v>
      </c>
      <c r="E103" s="36" t="s">
        <v>75</v>
      </c>
      <c r="F103" s="36" t="s">
        <v>76</v>
      </c>
      <c r="G103" s="37" t="n">
        <v>30</v>
      </c>
      <c r="H103" s="36" t="s">
        <v>82</v>
      </c>
      <c r="I103" s="35" t="s">
        <v>58</v>
      </c>
      <c r="J103" s="35"/>
    </row>
    <row r="104" customFormat="false" ht="15" hidden="false" customHeight="false" outlineLevel="0" collapsed="false">
      <c r="B104" s="34" t="n">
        <v>46239</v>
      </c>
      <c r="C104" s="35" t="s">
        <v>48</v>
      </c>
      <c r="D104" s="36" t="s">
        <v>49</v>
      </c>
      <c r="E104" s="36" t="s">
        <v>55</v>
      </c>
      <c r="F104" s="36" t="s">
        <v>56</v>
      </c>
      <c r="G104" s="37" t="n">
        <v>24</v>
      </c>
      <c r="H104" s="36" t="s">
        <v>52</v>
      </c>
      <c r="I104" s="35" t="s">
        <v>53</v>
      </c>
      <c r="J104" s="35"/>
    </row>
    <row r="105" customFormat="false" ht="15" hidden="false" customHeight="false" outlineLevel="0" collapsed="false">
      <c r="B105" s="34" t="n">
        <v>46240</v>
      </c>
      <c r="C105" s="35" t="s">
        <v>64</v>
      </c>
      <c r="D105" s="36" t="s">
        <v>69</v>
      </c>
      <c r="E105" s="36" t="s">
        <v>73</v>
      </c>
      <c r="F105" s="36" t="s">
        <v>87</v>
      </c>
      <c r="G105" s="37" t="n">
        <v>27</v>
      </c>
      <c r="H105" s="36" t="s">
        <v>57</v>
      </c>
      <c r="I105" s="35" t="s">
        <v>58</v>
      </c>
      <c r="J105" s="35"/>
    </row>
    <row r="106" customFormat="false" ht="15" hidden="false" customHeight="false" outlineLevel="0" collapsed="false">
      <c r="B106" s="34" t="n">
        <v>46241</v>
      </c>
      <c r="C106" s="35" t="s">
        <v>64</v>
      </c>
      <c r="D106" s="36" t="s">
        <v>65</v>
      </c>
      <c r="E106" s="36" t="s">
        <v>55</v>
      </c>
      <c r="F106" s="36" t="s">
        <v>102</v>
      </c>
      <c r="G106" s="37" t="n">
        <v>22</v>
      </c>
      <c r="H106" s="36" t="s">
        <v>52</v>
      </c>
      <c r="I106" s="35" t="s">
        <v>53</v>
      </c>
      <c r="J106" s="35"/>
    </row>
    <row r="107" customFormat="false" ht="15" hidden="false" customHeight="false" outlineLevel="0" collapsed="false">
      <c r="B107" s="34" t="n">
        <v>46241</v>
      </c>
      <c r="C107" s="35" t="s">
        <v>64</v>
      </c>
      <c r="D107" s="36" t="s">
        <v>92</v>
      </c>
      <c r="E107" s="36" t="s">
        <v>70</v>
      </c>
      <c r="F107" s="36" t="s">
        <v>99</v>
      </c>
      <c r="G107" s="37" t="n">
        <v>19</v>
      </c>
      <c r="H107" s="36" t="s">
        <v>57</v>
      </c>
      <c r="I107" s="35" t="s">
        <v>62</v>
      </c>
      <c r="J107" s="35" t="s">
        <v>113</v>
      </c>
    </row>
    <row r="108" customFormat="false" ht="15" hidden="false" customHeight="false" outlineLevel="0" collapsed="false">
      <c r="B108" s="34" t="n">
        <v>46244</v>
      </c>
      <c r="C108" s="35" t="s">
        <v>64</v>
      </c>
      <c r="D108" s="36" t="s">
        <v>72</v>
      </c>
      <c r="E108" s="36" t="s">
        <v>66</v>
      </c>
      <c r="F108" s="36" t="s">
        <v>67</v>
      </c>
      <c r="G108" s="37" t="n">
        <v>67</v>
      </c>
      <c r="H108" s="36" t="s">
        <v>68</v>
      </c>
      <c r="I108" s="35" t="s">
        <v>62</v>
      </c>
      <c r="J108" s="35" t="s">
        <v>114</v>
      </c>
    </row>
    <row r="109" customFormat="false" ht="15" hidden="false" customHeight="false" outlineLevel="0" collapsed="false">
      <c r="B109" s="34" t="n">
        <v>46245</v>
      </c>
      <c r="C109" s="35" t="s">
        <v>59</v>
      </c>
      <c r="D109" s="36" t="s">
        <v>79</v>
      </c>
      <c r="E109" s="36" t="s">
        <v>70</v>
      </c>
      <c r="F109" s="36" t="s">
        <v>103</v>
      </c>
      <c r="G109" s="37" t="n">
        <v>19</v>
      </c>
      <c r="H109" s="36" t="s">
        <v>57</v>
      </c>
      <c r="I109" s="35" t="s">
        <v>53</v>
      </c>
      <c r="J109" s="35"/>
    </row>
    <row r="110" customFormat="false" ht="15" hidden="false" customHeight="false" outlineLevel="0" collapsed="false">
      <c r="B110" s="34" t="n">
        <v>46246</v>
      </c>
      <c r="C110" s="35" t="s">
        <v>78</v>
      </c>
      <c r="D110" s="36" t="s">
        <v>65</v>
      </c>
      <c r="E110" s="36" t="s">
        <v>55</v>
      </c>
      <c r="F110" s="36" t="s">
        <v>98</v>
      </c>
      <c r="G110" s="37" t="n">
        <v>108</v>
      </c>
      <c r="H110" s="36" t="s">
        <v>68</v>
      </c>
      <c r="I110" s="35" t="s">
        <v>58</v>
      </c>
      <c r="J110" s="35"/>
    </row>
    <row r="111" customFormat="false" ht="15" hidden="false" customHeight="false" outlineLevel="0" collapsed="false">
      <c r="B111" s="34" t="n">
        <v>46248</v>
      </c>
      <c r="C111" s="35" t="s">
        <v>78</v>
      </c>
      <c r="D111" s="36" t="s">
        <v>49</v>
      </c>
      <c r="E111" s="36" t="s">
        <v>70</v>
      </c>
      <c r="F111" s="36" t="s">
        <v>71</v>
      </c>
      <c r="G111" s="37" t="n">
        <v>47</v>
      </c>
      <c r="H111" s="36" t="s">
        <v>68</v>
      </c>
      <c r="I111" s="35" t="s">
        <v>53</v>
      </c>
      <c r="J111" s="35"/>
    </row>
    <row r="112" customFormat="false" ht="15" hidden="false" customHeight="false" outlineLevel="0" collapsed="false">
      <c r="B112" s="34" t="n">
        <v>46253</v>
      </c>
      <c r="C112" s="35" t="s">
        <v>48</v>
      </c>
      <c r="D112" s="36" t="s">
        <v>54</v>
      </c>
      <c r="E112" s="36" t="s">
        <v>75</v>
      </c>
      <c r="F112" s="36" t="s">
        <v>80</v>
      </c>
      <c r="G112" s="37" t="n">
        <v>21</v>
      </c>
      <c r="H112" s="36" t="s">
        <v>90</v>
      </c>
      <c r="I112" s="35" t="s">
        <v>53</v>
      </c>
      <c r="J112" s="35"/>
    </row>
    <row r="113" customFormat="false" ht="15" hidden="false" customHeight="false" outlineLevel="0" collapsed="false">
      <c r="B113" s="34" t="n">
        <v>46253</v>
      </c>
      <c r="C113" s="35" t="s">
        <v>48</v>
      </c>
      <c r="D113" s="36" t="s">
        <v>54</v>
      </c>
      <c r="E113" s="36" t="s">
        <v>70</v>
      </c>
      <c r="F113" s="36" t="s">
        <v>99</v>
      </c>
      <c r="G113" s="37" t="n">
        <v>25</v>
      </c>
      <c r="H113" s="36" t="s">
        <v>68</v>
      </c>
      <c r="I113" s="35" t="s">
        <v>53</v>
      </c>
      <c r="J113" s="35"/>
    </row>
    <row r="114" customFormat="false" ht="15" hidden="false" customHeight="false" outlineLevel="0" collapsed="false">
      <c r="B114" s="34" t="n">
        <v>46255</v>
      </c>
      <c r="C114" s="35" t="s">
        <v>48</v>
      </c>
      <c r="D114" s="36" t="s">
        <v>54</v>
      </c>
      <c r="E114" s="36" t="s">
        <v>66</v>
      </c>
      <c r="F114" s="36" t="s">
        <v>67</v>
      </c>
      <c r="G114" s="37" t="n">
        <v>31</v>
      </c>
      <c r="H114" s="36" t="s">
        <v>68</v>
      </c>
      <c r="I114" s="35" t="s">
        <v>58</v>
      </c>
      <c r="J114" s="35"/>
    </row>
    <row r="115" customFormat="false" ht="15" hidden="false" customHeight="false" outlineLevel="0" collapsed="false">
      <c r="B115" s="34" t="n">
        <v>46258</v>
      </c>
      <c r="C115" s="35" t="s">
        <v>78</v>
      </c>
      <c r="D115" s="36" t="s">
        <v>65</v>
      </c>
      <c r="E115" s="36" t="s">
        <v>73</v>
      </c>
      <c r="F115" s="36" t="s">
        <v>74</v>
      </c>
      <c r="G115" s="37" t="n">
        <v>41</v>
      </c>
      <c r="H115" s="36" t="s">
        <v>68</v>
      </c>
      <c r="I115" s="35" t="s">
        <v>62</v>
      </c>
      <c r="J115" s="35"/>
    </row>
    <row r="116" customFormat="false" ht="15" hidden="false" customHeight="false" outlineLevel="0" collapsed="false">
      <c r="B116" s="34" t="n">
        <v>46258</v>
      </c>
      <c r="C116" s="35" t="s">
        <v>64</v>
      </c>
      <c r="D116" s="36" t="s">
        <v>65</v>
      </c>
      <c r="E116" s="36" t="s">
        <v>55</v>
      </c>
      <c r="F116" s="36" t="s">
        <v>56</v>
      </c>
      <c r="G116" s="37" t="n">
        <v>10</v>
      </c>
      <c r="H116" s="36" t="s">
        <v>90</v>
      </c>
      <c r="I116" s="35" t="s">
        <v>53</v>
      </c>
      <c r="J116" s="35"/>
    </row>
    <row r="117" customFormat="false" ht="15" hidden="false" customHeight="false" outlineLevel="0" collapsed="false">
      <c r="B117" s="34" t="n">
        <v>46260</v>
      </c>
      <c r="C117" s="35" t="s">
        <v>48</v>
      </c>
      <c r="D117" s="36" t="s">
        <v>69</v>
      </c>
      <c r="E117" s="36" t="s">
        <v>66</v>
      </c>
      <c r="F117" s="36" t="s">
        <v>83</v>
      </c>
      <c r="G117" s="37" t="n">
        <v>32</v>
      </c>
      <c r="H117" s="36" t="s">
        <v>82</v>
      </c>
      <c r="I117" s="35" t="s">
        <v>58</v>
      </c>
      <c r="J117" s="35"/>
    </row>
    <row r="118" customFormat="false" ht="15" hidden="false" customHeight="false" outlineLevel="0" collapsed="false">
      <c r="B118" s="34" t="n">
        <v>46261</v>
      </c>
      <c r="C118" s="35" t="s">
        <v>78</v>
      </c>
      <c r="D118" s="36" t="s">
        <v>65</v>
      </c>
      <c r="E118" s="36" t="s">
        <v>70</v>
      </c>
      <c r="F118" s="36" t="s">
        <v>71</v>
      </c>
      <c r="G118" s="37" t="n">
        <v>26</v>
      </c>
      <c r="H118" s="36" t="s">
        <v>82</v>
      </c>
      <c r="I118" s="35" t="s">
        <v>53</v>
      </c>
      <c r="J118" s="35"/>
    </row>
    <row r="119" customFormat="false" ht="15" hidden="false" customHeight="false" outlineLevel="0" collapsed="false">
      <c r="B119" s="34" t="n">
        <v>46262</v>
      </c>
      <c r="C119" s="35" t="s">
        <v>64</v>
      </c>
      <c r="D119" s="36" t="s">
        <v>54</v>
      </c>
      <c r="E119" s="36" t="s">
        <v>55</v>
      </c>
      <c r="F119" s="36" t="s">
        <v>56</v>
      </c>
      <c r="G119" s="37" t="n">
        <v>25</v>
      </c>
      <c r="H119" s="36" t="s">
        <v>68</v>
      </c>
      <c r="I119" s="35" t="s">
        <v>58</v>
      </c>
      <c r="J119" s="35"/>
    </row>
    <row r="120" customFormat="false" ht="15" hidden="false" customHeight="false" outlineLevel="0" collapsed="false">
      <c r="B120" s="34" t="n">
        <v>46266</v>
      </c>
      <c r="C120" s="35" t="s">
        <v>48</v>
      </c>
      <c r="D120" s="36" t="s">
        <v>92</v>
      </c>
      <c r="E120" s="36" t="s">
        <v>70</v>
      </c>
      <c r="F120" s="36" t="s">
        <v>71</v>
      </c>
      <c r="G120" s="37" t="n">
        <v>10</v>
      </c>
      <c r="H120" s="36" t="s">
        <v>52</v>
      </c>
      <c r="I120" s="35" t="s">
        <v>62</v>
      </c>
      <c r="J120" s="35" t="s">
        <v>115</v>
      </c>
    </row>
    <row r="121" customFormat="false" ht="15" hidden="false" customHeight="false" outlineLevel="0" collapsed="false">
      <c r="B121" s="34" t="n">
        <v>46267</v>
      </c>
      <c r="C121" s="35" t="s">
        <v>48</v>
      </c>
      <c r="D121" s="36" t="s">
        <v>79</v>
      </c>
      <c r="E121" s="36" t="s">
        <v>75</v>
      </c>
      <c r="F121" s="36" t="s">
        <v>76</v>
      </c>
      <c r="G121" s="37" t="n">
        <v>22</v>
      </c>
      <c r="H121" s="36" t="s">
        <v>68</v>
      </c>
      <c r="I121" s="35" t="s">
        <v>53</v>
      </c>
      <c r="J121" s="35"/>
    </row>
    <row r="122" customFormat="false" ht="15" hidden="false" customHeight="false" outlineLevel="0" collapsed="false">
      <c r="B122" s="34" t="n">
        <v>46267</v>
      </c>
      <c r="C122" s="35" t="s">
        <v>59</v>
      </c>
      <c r="D122" s="36" t="s">
        <v>72</v>
      </c>
      <c r="E122" s="36" t="s">
        <v>73</v>
      </c>
      <c r="F122" s="36" t="s">
        <v>97</v>
      </c>
      <c r="G122" s="37" t="n">
        <v>31</v>
      </c>
      <c r="H122" s="36" t="s">
        <v>68</v>
      </c>
      <c r="I122" s="35" t="s">
        <v>62</v>
      </c>
      <c r="J122" s="35"/>
    </row>
    <row r="123" customFormat="false" ht="15" hidden="false" customHeight="false" outlineLevel="0" collapsed="false">
      <c r="B123" s="34" t="n">
        <v>46268</v>
      </c>
      <c r="C123" s="35" t="s">
        <v>59</v>
      </c>
      <c r="D123" s="36" t="s">
        <v>69</v>
      </c>
      <c r="E123" s="36" t="s">
        <v>73</v>
      </c>
      <c r="F123" s="36" t="s">
        <v>97</v>
      </c>
      <c r="G123" s="37" t="n">
        <v>18</v>
      </c>
      <c r="H123" s="36" t="s">
        <v>52</v>
      </c>
      <c r="I123" s="35" t="s">
        <v>58</v>
      </c>
      <c r="J123" s="35"/>
    </row>
    <row r="124" customFormat="false" ht="15" hidden="false" customHeight="false" outlineLevel="0" collapsed="false">
      <c r="B124" s="34" t="n">
        <v>46269</v>
      </c>
      <c r="C124" s="35" t="s">
        <v>64</v>
      </c>
      <c r="D124" s="36" t="s">
        <v>54</v>
      </c>
      <c r="E124" s="36" t="s">
        <v>55</v>
      </c>
      <c r="F124" s="36" t="s">
        <v>56</v>
      </c>
      <c r="G124" s="37" t="n">
        <v>44</v>
      </c>
      <c r="H124" s="36" t="s">
        <v>90</v>
      </c>
      <c r="I124" s="35" t="s">
        <v>53</v>
      </c>
      <c r="J124" s="35"/>
    </row>
    <row r="125" customFormat="false" ht="15" hidden="false" customHeight="false" outlineLevel="0" collapsed="false">
      <c r="B125" s="34" t="n">
        <v>46272</v>
      </c>
      <c r="C125" s="35" t="s">
        <v>59</v>
      </c>
      <c r="D125" s="36" t="s">
        <v>69</v>
      </c>
      <c r="E125" s="36" t="s">
        <v>66</v>
      </c>
      <c r="F125" s="36" t="s">
        <v>67</v>
      </c>
      <c r="G125" s="37" t="n">
        <v>15</v>
      </c>
      <c r="H125" s="36" t="s">
        <v>68</v>
      </c>
      <c r="I125" s="35" t="s">
        <v>62</v>
      </c>
      <c r="J125" s="35"/>
    </row>
    <row r="126" customFormat="false" ht="15" hidden="false" customHeight="false" outlineLevel="0" collapsed="false">
      <c r="B126" s="34" t="n">
        <v>46273</v>
      </c>
      <c r="C126" s="35" t="s">
        <v>59</v>
      </c>
      <c r="D126" s="36" t="s">
        <v>65</v>
      </c>
      <c r="E126" s="36" t="s">
        <v>55</v>
      </c>
      <c r="F126" s="36" t="s">
        <v>84</v>
      </c>
      <c r="G126" s="37" t="n">
        <v>13</v>
      </c>
      <c r="H126" s="36" t="s">
        <v>90</v>
      </c>
      <c r="I126" s="35" t="s">
        <v>53</v>
      </c>
      <c r="J126" s="35"/>
    </row>
    <row r="127" customFormat="false" ht="15" hidden="false" customHeight="false" outlineLevel="0" collapsed="false">
      <c r="B127" s="34" t="n">
        <v>46274</v>
      </c>
      <c r="C127" s="35" t="s">
        <v>59</v>
      </c>
      <c r="D127" s="36" t="s">
        <v>49</v>
      </c>
      <c r="E127" s="36" t="s">
        <v>73</v>
      </c>
      <c r="F127" s="36" t="s">
        <v>74</v>
      </c>
      <c r="G127" s="37" t="n">
        <v>70</v>
      </c>
      <c r="H127" s="36" t="s">
        <v>82</v>
      </c>
      <c r="I127" s="35" t="s">
        <v>62</v>
      </c>
      <c r="J127" s="35"/>
    </row>
    <row r="128" customFormat="false" ht="15" hidden="false" customHeight="false" outlineLevel="0" collapsed="false">
      <c r="B128" s="34" t="n">
        <v>46274</v>
      </c>
      <c r="C128" s="35" t="s">
        <v>64</v>
      </c>
      <c r="D128" s="36" t="s">
        <v>65</v>
      </c>
      <c r="E128" s="36" t="s">
        <v>50</v>
      </c>
      <c r="F128" s="36" t="s">
        <v>51</v>
      </c>
      <c r="G128" s="37" t="n">
        <v>10</v>
      </c>
      <c r="H128" s="36" t="s">
        <v>52</v>
      </c>
      <c r="I128" s="35" t="s">
        <v>58</v>
      </c>
      <c r="J128" s="35"/>
    </row>
    <row r="129" customFormat="false" ht="15" hidden="false" customHeight="false" outlineLevel="0" collapsed="false">
      <c r="B129" s="34" t="n">
        <v>46276</v>
      </c>
      <c r="C129" s="35" t="s">
        <v>48</v>
      </c>
      <c r="D129" s="36" t="s">
        <v>65</v>
      </c>
      <c r="E129" s="36" t="s">
        <v>55</v>
      </c>
      <c r="F129" s="36" t="s">
        <v>102</v>
      </c>
      <c r="G129" s="37" t="n">
        <v>22</v>
      </c>
      <c r="H129" s="36" t="s">
        <v>90</v>
      </c>
      <c r="I129" s="35" t="s">
        <v>58</v>
      </c>
      <c r="J129" s="35"/>
    </row>
    <row r="130" customFormat="false" ht="15" hidden="false" customHeight="false" outlineLevel="0" collapsed="false">
      <c r="B130" s="34" t="n">
        <v>46276</v>
      </c>
      <c r="C130" s="35" t="s">
        <v>48</v>
      </c>
      <c r="D130" s="36" t="s">
        <v>69</v>
      </c>
      <c r="E130" s="36" t="s">
        <v>70</v>
      </c>
      <c r="F130" s="36" t="s">
        <v>103</v>
      </c>
      <c r="G130" s="37" t="n">
        <v>19</v>
      </c>
      <c r="H130" s="36" t="s">
        <v>90</v>
      </c>
      <c r="I130" s="35" t="s">
        <v>62</v>
      </c>
      <c r="J130" s="35"/>
    </row>
    <row r="131" customFormat="false" ht="15" hidden="false" customHeight="false" outlineLevel="0" collapsed="false">
      <c r="B131" s="34" t="n">
        <v>46279</v>
      </c>
      <c r="C131" s="35" t="s">
        <v>78</v>
      </c>
      <c r="D131" s="36" t="s">
        <v>92</v>
      </c>
      <c r="E131" s="36" t="s">
        <v>60</v>
      </c>
      <c r="F131" s="36" t="s">
        <v>61</v>
      </c>
      <c r="G131" s="37" t="n">
        <v>73</v>
      </c>
      <c r="H131" s="36" t="s">
        <v>68</v>
      </c>
      <c r="I131" s="35" t="s">
        <v>58</v>
      </c>
      <c r="J131" s="35"/>
    </row>
    <row r="132" customFormat="false" ht="15" hidden="false" customHeight="false" outlineLevel="0" collapsed="false">
      <c r="B132" s="34" t="n">
        <v>46283</v>
      </c>
      <c r="C132" s="35" t="s">
        <v>64</v>
      </c>
      <c r="D132" s="36" t="s">
        <v>72</v>
      </c>
      <c r="E132" s="36" t="s">
        <v>66</v>
      </c>
      <c r="F132" s="36" t="s">
        <v>67</v>
      </c>
      <c r="G132" s="37" t="n">
        <v>20</v>
      </c>
      <c r="H132" s="36" t="s">
        <v>57</v>
      </c>
      <c r="I132" s="35" t="s">
        <v>53</v>
      </c>
      <c r="J132" s="35"/>
    </row>
    <row r="133" customFormat="false" ht="15" hidden="false" customHeight="false" outlineLevel="0" collapsed="false">
      <c r="B133" s="34" t="n">
        <v>46283</v>
      </c>
      <c r="C133" s="35" t="s">
        <v>78</v>
      </c>
      <c r="D133" s="36" t="s">
        <v>79</v>
      </c>
      <c r="E133" s="36" t="s">
        <v>55</v>
      </c>
      <c r="F133" s="36" t="s">
        <v>102</v>
      </c>
      <c r="G133" s="37" t="n">
        <v>22</v>
      </c>
      <c r="H133" s="36" t="s">
        <v>57</v>
      </c>
      <c r="I133" s="35" t="s">
        <v>58</v>
      </c>
      <c r="J133" s="35"/>
    </row>
    <row r="134" customFormat="false" ht="15" hidden="false" customHeight="false" outlineLevel="0" collapsed="false">
      <c r="B134" s="34" t="n">
        <v>46286</v>
      </c>
      <c r="C134" s="35" t="s">
        <v>78</v>
      </c>
      <c r="D134" s="36" t="s">
        <v>72</v>
      </c>
      <c r="E134" s="36" t="s">
        <v>66</v>
      </c>
      <c r="F134" s="36" t="s">
        <v>67</v>
      </c>
      <c r="G134" s="37" t="n">
        <v>25</v>
      </c>
      <c r="H134" s="36" t="s">
        <v>82</v>
      </c>
      <c r="I134" s="35" t="s">
        <v>62</v>
      </c>
      <c r="J134" s="35" t="s">
        <v>116</v>
      </c>
    </row>
    <row r="135" customFormat="false" ht="15" hidden="false" customHeight="false" outlineLevel="0" collapsed="false">
      <c r="B135" s="34" t="n">
        <v>46288</v>
      </c>
      <c r="C135" s="35" t="s">
        <v>59</v>
      </c>
      <c r="D135" s="36" t="s">
        <v>54</v>
      </c>
      <c r="E135" s="36" t="s">
        <v>60</v>
      </c>
      <c r="F135" s="36" t="s">
        <v>61</v>
      </c>
      <c r="G135" s="37" t="n">
        <v>13</v>
      </c>
      <c r="H135" s="36" t="s">
        <v>90</v>
      </c>
      <c r="I135" s="35" t="s">
        <v>62</v>
      </c>
      <c r="J135" s="35" t="s">
        <v>117</v>
      </c>
    </row>
    <row r="136" customFormat="false" ht="15" hidden="false" customHeight="false" outlineLevel="0" collapsed="false">
      <c r="B136" s="34" t="n">
        <v>46289</v>
      </c>
      <c r="C136" s="35" t="s">
        <v>48</v>
      </c>
      <c r="D136" s="36" t="s">
        <v>79</v>
      </c>
      <c r="E136" s="36" t="s">
        <v>66</v>
      </c>
      <c r="F136" s="36" t="s">
        <v>81</v>
      </c>
      <c r="G136" s="37" t="n">
        <v>27</v>
      </c>
      <c r="H136" s="36" t="s">
        <v>90</v>
      </c>
      <c r="I136" s="35" t="s">
        <v>53</v>
      </c>
      <c r="J136" s="35"/>
    </row>
    <row r="137" customFormat="false" ht="15" hidden="false" customHeight="false" outlineLevel="0" collapsed="false">
      <c r="B137" s="34" t="n">
        <v>46289</v>
      </c>
      <c r="C137" s="35" t="s">
        <v>78</v>
      </c>
      <c r="D137" s="36" t="s">
        <v>54</v>
      </c>
      <c r="E137" s="36" t="s">
        <v>50</v>
      </c>
      <c r="F137" s="36" t="s">
        <v>100</v>
      </c>
      <c r="G137" s="37" t="n">
        <v>32</v>
      </c>
      <c r="H137" s="36" t="s">
        <v>57</v>
      </c>
      <c r="I137" s="35" t="s">
        <v>53</v>
      </c>
      <c r="J137" s="35"/>
    </row>
    <row r="138" customFormat="false" ht="15" hidden="false" customHeight="false" outlineLevel="0" collapsed="false">
      <c r="B138" s="34" t="n">
        <v>46294</v>
      </c>
      <c r="C138" s="35" t="s">
        <v>48</v>
      </c>
      <c r="D138" s="36" t="s">
        <v>94</v>
      </c>
      <c r="E138" s="36" t="s">
        <v>55</v>
      </c>
      <c r="F138" s="36" t="s">
        <v>102</v>
      </c>
      <c r="G138" s="37" t="n">
        <v>20</v>
      </c>
      <c r="H138" s="36" t="s">
        <v>52</v>
      </c>
      <c r="I138" s="35" t="s">
        <v>58</v>
      </c>
      <c r="J138" s="35"/>
    </row>
    <row r="139" customFormat="false" ht="15" hidden="false" customHeight="false" outlineLevel="0" collapsed="false">
      <c r="B139" s="34"/>
      <c r="C139" s="35"/>
      <c r="D139" s="36"/>
      <c r="E139" s="36"/>
      <c r="F139" s="36"/>
      <c r="G139" s="37"/>
      <c r="H139" s="36"/>
      <c r="I139" s="35"/>
      <c r="J139" s="35"/>
    </row>
    <row r="140" customFormat="false" ht="15" hidden="false" customHeight="false" outlineLevel="0" collapsed="false">
      <c r="B140" s="34"/>
      <c r="C140" s="35"/>
      <c r="D140" s="36"/>
      <c r="E140" s="36"/>
      <c r="F140" s="36"/>
      <c r="G140" s="37"/>
      <c r="H140" s="36"/>
      <c r="I140" s="35"/>
      <c r="J140" s="35"/>
    </row>
    <row r="141" customFormat="false" ht="15" hidden="false" customHeight="false" outlineLevel="0" collapsed="false">
      <c r="B141" s="34"/>
      <c r="C141" s="35"/>
      <c r="D141" s="36"/>
      <c r="E141" s="36"/>
      <c r="F141" s="36"/>
      <c r="G141" s="37"/>
      <c r="H141" s="36"/>
      <c r="I141" s="35"/>
      <c r="J141" s="35"/>
    </row>
    <row r="142" customFormat="false" ht="15" hidden="false" customHeight="false" outlineLevel="0" collapsed="false">
      <c r="B142" s="34"/>
      <c r="C142" s="35"/>
      <c r="D142" s="36"/>
      <c r="E142" s="36"/>
      <c r="F142" s="36"/>
      <c r="G142" s="37"/>
      <c r="H142" s="36"/>
      <c r="I142" s="35"/>
      <c r="J142" s="35"/>
    </row>
    <row r="143" customFormat="false" ht="15" hidden="false" customHeight="false" outlineLevel="0" collapsed="false">
      <c r="B143" s="34"/>
      <c r="C143" s="35"/>
      <c r="D143" s="36"/>
      <c r="E143" s="36"/>
      <c r="F143" s="36"/>
      <c r="G143" s="37"/>
      <c r="H143" s="36"/>
      <c r="I143" s="35"/>
      <c r="J143" s="35"/>
    </row>
    <row r="144" customFormat="false" ht="15" hidden="false" customHeight="false" outlineLevel="0" collapsed="false">
      <c r="B144" s="34"/>
      <c r="C144" s="35"/>
      <c r="D144" s="36"/>
      <c r="E144" s="36"/>
      <c r="F144" s="36"/>
      <c r="G144" s="37"/>
      <c r="H144" s="36"/>
      <c r="I144" s="35"/>
      <c r="J144" s="35"/>
    </row>
    <row r="145" customFormat="false" ht="15" hidden="false" customHeight="false" outlineLevel="0" collapsed="false">
      <c r="B145" s="34"/>
      <c r="C145" s="35"/>
      <c r="D145" s="36"/>
      <c r="E145" s="36"/>
      <c r="F145" s="36"/>
      <c r="G145" s="37"/>
      <c r="H145" s="36"/>
      <c r="I145" s="35"/>
      <c r="J145" s="35"/>
    </row>
    <row r="146" customFormat="false" ht="15" hidden="false" customHeight="false" outlineLevel="0" collapsed="false">
      <c r="B146" s="34"/>
      <c r="C146" s="35"/>
      <c r="D146" s="36"/>
      <c r="E146" s="36"/>
      <c r="F146" s="36"/>
      <c r="G146" s="37"/>
      <c r="H146" s="36"/>
      <c r="I146" s="35"/>
      <c r="J146" s="35"/>
    </row>
    <row r="147" customFormat="false" ht="15" hidden="false" customHeight="false" outlineLevel="0" collapsed="false">
      <c r="B147" s="34"/>
      <c r="C147" s="35"/>
      <c r="D147" s="36"/>
      <c r="E147" s="36"/>
      <c r="F147" s="36"/>
      <c r="G147" s="37"/>
      <c r="H147" s="36"/>
      <c r="I147" s="35"/>
      <c r="J147" s="35"/>
    </row>
    <row r="148" customFormat="false" ht="15" hidden="false" customHeight="false" outlineLevel="0" collapsed="false">
      <c r="B148" s="34"/>
      <c r="C148" s="35"/>
      <c r="D148" s="36"/>
      <c r="E148" s="36"/>
      <c r="F148" s="36"/>
      <c r="G148" s="37"/>
      <c r="H148" s="36"/>
      <c r="I148" s="35"/>
      <c r="J148" s="35"/>
    </row>
    <row r="149" customFormat="false" ht="15" hidden="false" customHeight="false" outlineLevel="0" collapsed="false">
      <c r="B149" s="34"/>
      <c r="C149" s="35"/>
      <c r="D149" s="36"/>
      <c r="E149" s="36"/>
      <c r="F149" s="36"/>
      <c r="G149" s="37"/>
      <c r="H149" s="36"/>
      <c r="I149" s="35"/>
      <c r="J149" s="35"/>
    </row>
    <row r="150" customFormat="false" ht="15" hidden="false" customHeight="false" outlineLevel="0" collapsed="false">
      <c r="B150" s="34"/>
      <c r="C150" s="35"/>
      <c r="D150" s="36"/>
      <c r="E150" s="36"/>
      <c r="F150" s="36"/>
      <c r="G150" s="37"/>
      <c r="H150" s="36"/>
      <c r="I150" s="35"/>
      <c r="J150" s="35"/>
    </row>
    <row r="151" customFormat="false" ht="15" hidden="false" customHeight="false" outlineLevel="0" collapsed="false">
      <c r="B151" s="34"/>
      <c r="C151" s="35"/>
      <c r="D151" s="36"/>
      <c r="E151" s="36"/>
      <c r="F151" s="36"/>
      <c r="G151" s="37"/>
      <c r="H151" s="36"/>
      <c r="I151" s="35"/>
      <c r="J151" s="35"/>
    </row>
    <row r="152" customFormat="false" ht="15" hidden="false" customHeight="false" outlineLevel="0" collapsed="false">
      <c r="B152" s="34"/>
      <c r="C152" s="35"/>
      <c r="D152" s="36"/>
      <c r="E152" s="36"/>
      <c r="F152" s="36"/>
      <c r="G152" s="37"/>
      <c r="H152" s="36"/>
      <c r="I152" s="35"/>
      <c r="J152" s="35"/>
    </row>
    <row r="153" customFormat="false" ht="15" hidden="false" customHeight="false" outlineLevel="0" collapsed="false">
      <c r="B153" s="34"/>
      <c r="C153" s="35"/>
      <c r="D153" s="36"/>
      <c r="E153" s="36"/>
      <c r="F153" s="36"/>
      <c r="G153" s="37"/>
      <c r="H153" s="36"/>
      <c r="I153" s="35"/>
      <c r="J153" s="35"/>
    </row>
    <row r="154" customFormat="false" ht="15" hidden="false" customHeight="false" outlineLevel="0" collapsed="false">
      <c r="B154" s="34"/>
      <c r="C154" s="35"/>
      <c r="D154" s="36"/>
      <c r="E154" s="36"/>
      <c r="F154" s="36"/>
      <c r="G154" s="37"/>
      <c r="H154" s="36"/>
      <c r="I154" s="35"/>
      <c r="J154" s="35"/>
    </row>
    <row r="155" customFormat="false" ht="15" hidden="false" customHeight="false" outlineLevel="0" collapsed="false">
      <c r="B155" s="34"/>
      <c r="C155" s="35"/>
      <c r="D155" s="36"/>
      <c r="E155" s="36"/>
      <c r="F155" s="36"/>
      <c r="G155" s="37"/>
      <c r="H155" s="36"/>
      <c r="I155" s="35"/>
      <c r="J155" s="35"/>
    </row>
    <row r="156" customFormat="false" ht="15" hidden="false" customHeight="false" outlineLevel="0" collapsed="false">
      <c r="B156" s="34"/>
      <c r="C156" s="35"/>
      <c r="D156" s="36"/>
      <c r="E156" s="36"/>
      <c r="F156" s="36"/>
      <c r="G156" s="37"/>
      <c r="H156" s="36"/>
      <c r="I156" s="35"/>
      <c r="J156" s="35"/>
    </row>
    <row r="157" customFormat="false" ht="15" hidden="false" customHeight="false" outlineLevel="0" collapsed="false">
      <c r="B157" s="34"/>
      <c r="C157" s="35"/>
      <c r="D157" s="36"/>
      <c r="E157" s="36"/>
      <c r="F157" s="36"/>
      <c r="G157" s="37"/>
      <c r="H157" s="36"/>
      <c r="I157" s="35"/>
      <c r="J157" s="35"/>
    </row>
    <row r="158" customFormat="false" ht="15" hidden="false" customHeight="false" outlineLevel="0" collapsed="false">
      <c r="B158" s="34"/>
      <c r="C158" s="35"/>
      <c r="D158" s="36"/>
      <c r="E158" s="36"/>
      <c r="F158" s="36"/>
      <c r="G158" s="37"/>
      <c r="H158" s="36"/>
      <c r="I158" s="35"/>
      <c r="J158" s="35"/>
    </row>
    <row r="159" customFormat="false" ht="15" hidden="false" customHeight="false" outlineLevel="0" collapsed="false">
      <c r="B159" s="34"/>
      <c r="C159" s="35"/>
      <c r="D159" s="36"/>
      <c r="E159" s="36"/>
      <c r="F159" s="36"/>
      <c r="G159" s="37"/>
      <c r="H159" s="36"/>
      <c r="I159" s="35"/>
      <c r="J159" s="35"/>
    </row>
    <row r="160" customFormat="false" ht="15" hidden="false" customHeight="false" outlineLevel="0" collapsed="false">
      <c r="B160" s="34"/>
      <c r="C160" s="35"/>
      <c r="D160" s="36"/>
      <c r="E160" s="36"/>
      <c r="F160" s="36"/>
      <c r="G160" s="37"/>
      <c r="H160" s="36"/>
      <c r="I160" s="35"/>
      <c r="J160" s="35"/>
    </row>
    <row r="161" customFormat="false" ht="15" hidden="false" customHeight="false" outlineLevel="0" collapsed="false">
      <c r="B161" s="34"/>
      <c r="C161" s="35"/>
      <c r="D161" s="36"/>
      <c r="E161" s="36"/>
      <c r="F161" s="36"/>
      <c r="G161" s="37"/>
      <c r="H161" s="36"/>
      <c r="I161" s="35"/>
      <c r="J161" s="35"/>
    </row>
    <row r="162" customFormat="false" ht="15" hidden="false" customHeight="false" outlineLevel="0" collapsed="false">
      <c r="B162" s="34"/>
      <c r="C162" s="35"/>
      <c r="D162" s="36"/>
      <c r="E162" s="36"/>
      <c r="F162" s="36"/>
      <c r="G162" s="37"/>
      <c r="H162" s="36"/>
      <c r="I162" s="35"/>
      <c r="J162" s="35"/>
    </row>
    <row r="163" customFormat="false" ht="15" hidden="false" customHeight="false" outlineLevel="0" collapsed="false">
      <c r="B163" s="34"/>
      <c r="C163" s="35"/>
      <c r="D163" s="36"/>
      <c r="E163" s="36"/>
      <c r="F163" s="36"/>
      <c r="G163" s="37"/>
      <c r="H163" s="36"/>
      <c r="I163" s="35"/>
      <c r="J163" s="35"/>
    </row>
    <row r="164" customFormat="false" ht="15" hidden="false" customHeight="false" outlineLevel="0" collapsed="false">
      <c r="B164" s="34"/>
      <c r="C164" s="35"/>
      <c r="D164" s="36"/>
      <c r="E164" s="36"/>
      <c r="F164" s="36"/>
      <c r="G164" s="37"/>
      <c r="H164" s="36"/>
      <c r="I164" s="35"/>
      <c r="J164" s="35"/>
    </row>
    <row r="165" customFormat="false" ht="15" hidden="false" customHeight="false" outlineLevel="0" collapsed="false">
      <c r="B165" s="34"/>
      <c r="C165" s="35"/>
      <c r="D165" s="36"/>
      <c r="E165" s="36"/>
      <c r="F165" s="36"/>
      <c r="G165" s="37"/>
      <c r="H165" s="36"/>
      <c r="I165" s="35"/>
      <c r="J165" s="35"/>
    </row>
    <row r="166" customFormat="false" ht="15" hidden="false" customHeight="false" outlineLevel="0" collapsed="false">
      <c r="B166" s="34"/>
      <c r="C166" s="35"/>
      <c r="D166" s="36"/>
      <c r="E166" s="36"/>
      <c r="F166" s="36"/>
      <c r="G166" s="37"/>
      <c r="H166" s="36"/>
      <c r="I166" s="35"/>
      <c r="J166" s="35"/>
    </row>
    <row r="167" customFormat="false" ht="15" hidden="false" customHeight="false" outlineLevel="0" collapsed="false">
      <c r="B167" s="34"/>
      <c r="C167" s="35"/>
      <c r="D167" s="36"/>
      <c r="E167" s="36"/>
      <c r="F167" s="36"/>
      <c r="G167" s="37"/>
      <c r="H167" s="36"/>
      <c r="I167" s="35"/>
      <c r="J167" s="35"/>
    </row>
    <row r="168" customFormat="false" ht="15" hidden="false" customHeight="false" outlineLevel="0" collapsed="false">
      <c r="B168" s="34"/>
      <c r="C168" s="35"/>
      <c r="D168" s="36"/>
      <c r="E168" s="36"/>
      <c r="F168" s="36"/>
      <c r="G168" s="37"/>
      <c r="H168" s="36"/>
      <c r="I168" s="35"/>
      <c r="J168" s="35"/>
    </row>
    <row r="169" customFormat="false" ht="15" hidden="false" customHeight="false" outlineLevel="0" collapsed="false">
      <c r="B169" s="34"/>
      <c r="C169" s="35"/>
      <c r="D169" s="36"/>
      <c r="E169" s="36"/>
      <c r="F169" s="36"/>
      <c r="G169" s="37"/>
      <c r="H169" s="36"/>
      <c r="I169" s="35"/>
      <c r="J169" s="35"/>
    </row>
    <row r="170" customFormat="false" ht="15" hidden="false" customHeight="false" outlineLevel="0" collapsed="false">
      <c r="B170" s="34"/>
      <c r="C170" s="35"/>
      <c r="D170" s="36"/>
      <c r="E170" s="36"/>
      <c r="F170" s="36"/>
      <c r="G170" s="37"/>
      <c r="H170" s="36"/>
      <c r="I170" s="35"/>
      <c r="J170" s="35"/>
    </row>
    <row r="171" customFormat="false" ht="15" hidden="false" customHeight="false" outlineLevel="0" collapsed="false">
      <c r="B171" s="34"/>
      <c r="C171" s="35"/>
      <c r="D171" s="36"/>
      <c r="E171" s="36"/>
      <c r="F171" s="36"/>
      <c r="G171" s="37"/>
      <c r="H171" s="36"/>
      <c r="I171" s="35"/>
      <c r="J171" s="35"/>
    </row>
    <row r="172" customFormat="false" ht="15" hidden="false" customHeight="false" outlineLevel="0" collapsed="false">
      <c r="B172" s="34"/>
      <c r="C172" s="35"/>
      <c r="D172" s="36"/>
      <c r="E172" s="36"/>
      <c r="F172" s="36"/>
      <c r="G172" s="37"/>
      <c r="H172" s="36"/>
      <c r="I172" s="35"/>
      <c r="J172" s="35"/>
    </row>
    <row r="173" customFormat="false" ht="15" hidden="false" customHeight="false" outlineLevel="0" collapsed="false">
      <c r="B173" s="34"/>
      <c r="C173" s="35"/>
      <c r="D173" s="36"/>
      <c r="E173" s="36"/>
      <c r="F173" s="36"/>
      <c r="G173" s="37"/>
      <c r="H173" s="36"/>
      <c r="I173" s="35"/>
      <c r="J173" s="35"/>
    </row>
    <row r="174" customFormat="false" ht="15" hidden="false" customHeight="false" outlineLevel="0" collapsed="false">
      <c r="B174" s="34"/>
      <c r="C174" s="35"/>
      <c r="D174" s="36"/>
      <c r="E174" s="36"/>
      <c r="F174" s="36"/>
      <c r="G174" s="37"/>
      <c r="H174" s="36"/>
      <c r="I174" s="35"/>
      <c r="J174" s="35"/>
    </row>
    <row r="175" customFormat="false" ht="15" hidden="false" customHeight="false" outlineLevel="0" collapsed="false">
      <c r="B175" s="34"/>
      <c r="C175" s="35"/>
      <c r="D175" s="36"/>
      <c r="E175" s="36"/>
      <c r="F175" s="36"/>
      <c r="G175" s="37"/>
      <c r="H175" s="36"/>
      <c r="I175" s="35"/>
      <c r="J175" s="35"/>
    </row>
    <row r="176" customFormat="false" ht="15" hidden="false" customHeight="false" outlineLevel="0" collapsed="false">
      <c r="B176" s="34"/>
      <c r="C176" s="35"/>
      <c r="D176" s="36"/>
      <c r="E176" s="36"/>
      <c r="F176" s="36"/>
      <c r="G176" s="37"/>
      <c r="H176" s="36"/>
      <c r="I176" s="35"/>
      <c r="J176" s="35"/>
    </row>
    <row r="177" customFormat="false" ht="15" hidden="false" customHeight="false" outlineLevel="0" collapsed="false">
      <c r="B177" s="34"/>
      <c r="C177" s="35"/>
      <c r="D177" s="36"/>
      <c r="E177" s="36"/>
      <c r="F177" s="36"/>
      <c r="G177" s="37"/>
      <c r="H177" s="36"/>
      <c r="I177" s="35"/>
      <c r="J177" s="35"/>
    </row>
    <row r="178" customFormat="false" ht="15" hidden="false" customHeight="false" outlineLevel="0" collapsed="false">
      <c r="B178" s="34"/>
      <c r="C178" s="35"/>
      <c r="D178" s="36"/>
      <c r="E178" s="36"/>
      <c r="F178" s="36"/>
      <c r="G178" s="37"/>
      <c r="H178" s="36"/>
      <c r="I178" s="35"/>
      <c r="J178" s="35"/>
    </row>
    <row r="179" customFormat="false" ht="15" hidden="false" customHeight="false" outlineLevel="0" collapsed="false">
      <c r="B179" s="34"/>
      <c r="C179" s="35"/>
      <c r="D179" s="36"/>
      <c r="E179" s="36"/>
      <c r="F179" s="36"/>
      <c r="G179" s="37"/>
      <c r="H179" s="36"/>
      <c r="I179" s="35"/>
      <c r="J179" s="35"/>
    </row>
    <row r="180" customFormat="false" ht="15" hidden="false" customHeight="false" outlineLevel="0" collapsed="false">
      <c r="B180" s="34"/>
      <c r="C180" s="35"/>
      <c r="D180" s="36"/>
      <c r="E180" s="36"/>
      <c r="F180" s="36"/>
      <c r="G180" s="37"/>
      <c r="H180" s="36"/>
      <c r="I180" s="35"/>
      <c r="J180" s="35"/>
    </row>
    <row r="181" customFormat="false" ht="15" hidden="false" customHeight="false" outlineLevel="0" collapsed="false">
      <c r="B181" s="34"/>
      <c r="C181" s="35"/>
      <c r="D181" s="36"/>
      <c r="E181" s="36"/>
      <c r="F181" s="36"/>
      <c r="G181" s="37"/>
      <c r="H181" s="36"/>
      <c r="I181" s="35"/>
      <c r="J181" s="35"/>
    </row>
    <row r="182" customFormat="false" ht="15" hidden="false" customHeight="false" outlineLevel="0" collapsed="false">
      <c r="B182" s="34"/>
      <c r="C182" s="35"/>
      <c r="D182" s="36"/>
      <c r="E182" s="36"/>
      <c r="F182" s="36"/>
      <c r="G182" s="37"/>
      <c r="H182" s="36"/>
      <c r="I182" s="35"/>
      <c r="J182" s="35"/>
    </row>
    <row r="183" customFormat="false" ht="15" hidden="false" customHeight="false" outlineLevel="0" collapsed="false">
      <c r="B183" s="34"/>
      <c r="C183" s="35"/>
      <c r="D183" s="36"/>
      <c r="E183" s="36"/>
      <c r="F183" s="36"/>
      <c r="G183" s="37"/>
      <c r="H183" s="36"/>
      <c r="I183" s="35"/>
      <c r="J183" s="35"/>
    </row>
    <row r="184" customFormat="false" ht="15" hidden="false" customHeight="false" outlineLevel="0" collapsed="false">
      <c r="B184" s="34"/>
      <c r="C184" s="35"/>
      <c r="D184" s="36"/>
      <c r="E184" s="36"/>
      <c r="F184" s="36"/>
      <c r="G184" s="37"/>
      <c r="H184" s="36"/>
      <c r="I184" s="35"/>
      <c r="J184" s="35"/>
    </row>
    <row r="185" customFormat="false" ht="15" hidden="false" customHeight="false" outlineLevel="0" collapsed="false">
      <c r="B185" s="34"/>
      <c r="C185" s="35"/>
      <c r="D185" s="36"/>
      <c r="E185" s="36"/>
      <c r="F185" s="36"/>
      <c r="G185" s="37"/>
      <c r="H185" s="36"/>
      <c r="I185" s="35"/>
      <c r="J185" s="35"/>
    </row>
    <row r="186" customFormat="false" ht="15" hidden="false" customHeight="false" outlineLevel="0" collapsed="false">
      <c r="B186" s="34"/>
      <c r="C186" s="35"/>
      <c r="D186" s="36"/>
      <c r="E186" s="36"/>
      <c r="F186" s="36"/>
      <c r="G186" s="37"/>
      <c r="H186" s="36"/>
      <c r="I186" s="35"/>
      <c r="J186" s="35"/>
    </row>
    <row r="187" customFormat="false" ht="15" hidden="false" customHeight="false" outlineLevel="0" collapsed="false">
      <c r="B187" s="34"/>
      <c r="C187" s="35"/>
      <c r="D187" s="36"/>
      <c r="E187" s="36"/>
      <c r="F187" s="36"/>
      <c r="G187" s="37"/>
      <c r="H187" s="36"/>
      <c r="I187" s="35"/>
      <c r="J187" s="35"/>
    </row>
    <row r="188" customFormat="false" ht="15" hidden="false" customHeight="false" outlineLevel="0" collapsed="false">
      <c r="B188" s="34"/>
      <c r="C188" s="35"/>
      <c r="D188" s="36"/>
      <c r="E188" s="36"/>
      <c r="F188" s="36"/>
      <c r="G188" s="37"/>
      <c r="H188" s="36"/>
      <c r="I188" s="35"/>
      <c r="J188" s="35"/>
    </row>
    <row r="189" customFormat="false" ht="15" hidden="false" customHeight="false" outlineLevel="0" collapsed="false">
      <c r="B189" s="34"/>
      <c r="C189" s="35"/>
      <c r="D189" s="36"/>
      <c r="E189" s="36"/>
      <c r="F189" s="36"/>
      <c r="G189" s="37"/>
      <c r="H189" s="36"/>
      <c r="I189" s="35"/>
      <c r="J189" s="35"/>
    </row>
    <row r="190" customFormat="false" ht="15" hidden="false" customHeight="false" outlineLevel="0" collapsed="false">
      <c r="B190" s="34"/>
      <c r="C190" s="35"/>
      <c r="D190" s="36"/>
      <c r="E190" s="36"/>
      <c r="F190" s="36"/>
      <c r="G190" s="37"/>
      <c r="H190" s="36"/>
      <c r="I190" s="35"/>
      <c r="J190" s="35"/>
    </row>
    <row r="191" customFormat="false" ht="15" hidden="false" customHeight="false" outlineLevel="0" collapsed="false">
      <c r="B191" s="34"/>
      <c r="C191" s="35"/>
      <c r="D191" s="36"/>
      <c r="E191" s="36"/>
      <c r="F191" s="36"/>
      <c r="G191" s="37"/>
      <c r="H191" s="36"/>
      <c r="I191" s="35"/>
      <c r="J191" s="35"/>
    </row>
    <row r="192" customFormat="false" ht="15" hidden="false" customHeight="false" outlineLevel="0" collapsed="false">
      <c r="B192" s="34"/>
      <c r="C192" s="35"/>
      <c r="D192" s="36"/>
      <c r="E192" s="36"/>
      <c r="F192" s="36"/>
      <c r="G192" s="37"/>
      <c r="H192" s="36"/>
      <c r="I192" s="35"/>
      <c r="J192" s="35"/>
    </row>
    <row r="193" customFormat="false" ht="15" hidden="false" customHeight="false" outlineLevel="0" collapsed="false">
      <c r="B193" s="34"/>
      <c r="C193" s="35"/>
      <c r="D193" s="36"/>
      <c r="E193" s="36"/>
      <c r="F193" s="36"/>
      <c r="G193" s="37"/>
      <c r="H193" s="36"/>
      <c r="I193" s="35"/>
      <c r="J193" s="35"/>
    </row>
    <row r="194" customFormat="false" ht="15" hidden="false" customHeight="false" outlineLevel="0" collapsed="false">
      <c r="B194" s="34"/>
      <c r="C194" s="35"/>
      <c r="D194" s="36"/>
      <c r="E194" s="36"/>
      <c r="F194" s="36"/>
      <c r="G194" s="37"/>
      <c r="H194" s="36"/>
      <c r="I194" s="35"/>
      <c r="J194" s="35"/>
    </row>
    <row r="195" customFormat="false" ht="15" hidden="false" customHeight="false" outlineLevel="0" collapsed="false">
      <c r="B195" s="34"/>
      <c r="C195" s="35"/>
      <c r="D195" s="36"/>
      <c r="E195" s="36"/>
      <c r="F195" s="36"/>
      <c r="G195" s="37"/>
      <c r="H195" s="36"/>
      <c r="I195" s="35"/>
      <c r="J195" s="35"/>
    </row>
    <row r="196" customFormat="false" ht="15" hidden="false" customHeight="false" outlineLevel="0" collapsed="false">
      <c r="B196" s="34"/>
      <c r="C196" s="35"/>
      <c r="D196" s="36"/>
      <c r="E196" s="36"/>
      <c r="F196" s="36"/>
      <c r="G196" s="37"/>
      <c r="H196" s="36"/>
      <c r="I196" s="35"/>
      <c r="J196" s="35"/>
    </row>
    <row r="197" customFormat="false" ht="15" hidden="false" customHeight="false" outlineLevel="0" collapsed="false">
      <c r="B197" s="34"/>
      <c r="C197" s="35"/>
      <c r="D197" s="36"/>
      <c r="E197" s="36"/>
      <c r="F197" s="36"/>
      <c r="G197" s="37"/>
      <c r="H197" s="36"/>
      <c r="I197" s="35"/>
      <c r="J197" s="35"/>
    </row>
    <row r="198" customFormat="false" ht="15" hidden="false" customHeight="false" outlineLevel="0" collapsed="false">
      <c r="B198" s="34"/>
      <c r="C198" s="35"/>
      <c r="D198" s="36"/>
      <c r="E198" s="36"/>
      <c r="F198" s="36"/>
      <c r="G198" s="37"/>
      <c r="H198" s="36"/>
      <c r="I198" s="35"/>
      <c r="J198" s="35"/>
    </row>
    <row r="199" customFormat="false" ht="15" hidden="false" customHeight="false" outlineLevel="0" collapsed="false">
      <c r="B199" s="34"/>
      <c r="C199" s="35"/>
      <c r="D199" s="36"/>
      <c r="E199" s="36"/>
      <c r="F199" s="36"/>
      <c r="G199" s="37"/>
      <c r="H199" s="36"/>
      <c r="I199" s="35"/>
      <c r="J199" s="35"/>
    </row>
    <row r="200" customFormat="false" ht="15" hidden="false" customHeight="false" outlineLevel="0" collapsed="false">
      <c r="B200" s="34"/>
      <c r="C200" s="35"/>
      <c r="D200" s="36"/>
      <c r="E200" s="36"/>
      <c r="F200" s="36"/>
      <c r="G200" s="37"/>
      <c r="H200" s="36"/>
      <c r="I200" s="35"/>
      <c r="J200" s="35"/>
    </row>
    <row r="201" customFormat="false" ht="15" hidden="false" customHeight="false" outlineLevel="0" collapsed="false">
      <c r="B201" s="34"/>
      <c r="C201" s="35"/>
      <c r="D201" s="36"/>
      <c r="E201" s="36"/>
      <c r="F201" s="36"/>
      <c r="G201" s="37"/>
      <c r="H201" s="36"/>
      <c r="I201" s="35"/>
      <c r="J201" s="35"/>
    </row>
    <row r="202" customFormat="false" ht="15" hidden="false" customHeight="false" outlineLevel="0" collapsed="false">
      <c r="B202" s="34"/>
      <c r="C202" s="35"/>
      <c r="D202" s="36"/>
      <c r="E202" s="36"/>
      <c r="F202" s="36"/>
      <c r="G202" s="37"/>
      <c r="H202" s="36"/>
      <c r="I202" s="35"/>
      <c r="J202" s="35"/>
    </row>
    <row r="203" customFormat="false" ht="15" hidden="false" customHeight="false" outlineLevel="0" collapsed="false">
      <c r="B203" s="34"/>
      <c r="C203" s="35"/>
      <c r="D203" s="36"/>
      <c r="E203" s="36"/>
      <c r="F203" s="36"/>
      <c r="G203" s="37"/>
      <c r="H203" s="36"/>
      <c r="I203" s="35"/>
      <c r="J203" s="35"/>
    </row>
    <row r="204" customFormat="false" ht="15" hidden="false" customHeight="false" outlineLevel="0" collapsed="false">
      <c r="B204" s="34"/>
      <c r="C204" s="35"/>
      <c r="D204" s="36"/>
      <c r="E204" s="36"/>
      <c r="F204" s="36"/>
      <c r="G204" s="37"/>
      <c r="H204" s="36"/>
      <c r="I204" s="35"/>
      <c r="J204" s="35"/>
    </row>
    <row r="205" customFormat="false" ht="15" hidden="false" customHeight="false" outlineLevel="0" collapsed="false">
      <c r="B205" s="34"/>
      <c r="C205" s="35"/>
      <c r="D205" s="36"/>
      <c r="E205" s="36"/>
      <c r="F205" s="36"/>
      <c r="G205" s="37"/>
      <c r="H205" s="36"/>
      <c r="I205" s="35"/>
      <c r="J205" s="35"/>
    </row>
    <row r="206" customFormat="false" ht="15" hidden="false" customHeight="false" outlineLevel="0" collapsed="false">
      <c r="B206" s="34"/>
      <c r="C206" s="35"/>
      <c r="D206" s="36"/>
      <c r="E206" s="36"/>
      <c r="F206" s="36"/>
      <c r="G206" s="37"/>
      <c r="H206" s="36"/>
      <c r="I206" s="35"/>
      <c r="J206" s="35"/>
    </row>
    <row r="207" customFormat="false" ht="15" hidden="false" customHeight="false" outlineLevel="0" collapsed="false">
      <c r="B207" s="34"/>
      <c r="C207" s="35"/>
      <c r="D207" s="36"/>
      <c r="E207" s="36"/>
      <c r="F207" s="36"/>
      <c r="G207" s="37"/>
      <c r="H207" s="36"/>
      <c r="I207" s="35"/>
      <c r="J207" s="35"/>
    </row>
    <row r="208" customFormat="false" ht="15" hidden="false" customHeight="false" outlineLevel="0" collapsed="false">
      <c r="B208" s="34"/>
      <c r="C208" s="35"/>
      <c r="D208" s="36"/>
      <c r="E208" s="36"/>
      <c r="F208" s="36"/>
      <c r="G208" s="37"/>
      <c r="H208" s="36"/>
      <c r="I208" s="35"/>
      <c r="J208" s="35"/>
    </row>
    <row r="209" customFormat="false" ht="15" hidden="false" customHeight="false" outlineLevel="0" collapsed="false">
      <c r="B209" s="34"/>
      <c r="C209" s="35"/>
      <c r="D209" s="36"/>
      <c r="E209" s="36"/>
      <c r="F209" s="36"/>
      <c r="G209" s="37"/>
      <c r="H209" s="36"/>
      <c r="I209" s="35"/>
      <c r="J209" s="35"/>
    </row>
    <row r="210" customFormat="false" ht="15" hidden="false" customHeight="false" outlineLevel="0" collapsed="false">
      <c r="B210" s="34"/>
      <c r="C210" s="35"/>
      <c r="D210" s="36"/>
      <c r="E210" s="36"/>
      <c r="F210" s="36"/>
      <c r="G210" s="37"/>
      <c r="H210" s="36"/>
      <c r="I210" s="35"/>
      <c r="J210" s="35"/>
    </row>
    <row r="211" customFormat="false" ht="15" hidden="false" customHeight="false" outlineLevel="0" collapsed="false">
      <c r="B211" s="34"/>
      <c r="C211" s="35"/>
      <c r="D211" s="36"/>
      <c r="E211" s="36"/>
      <c r="F211" s="36"/>
      <c r="G211" s="37"/>
      <c r="H211" s="36"/>
      <c r="I211" s="35"/>
      <c r="J211" s="35"/>
    </row>
    <row r="212" customFormat="false" ht="15" hidden="false" customHeight="false" outlineLevel="0" collapsed="false">
      <c r="B212" s="34"/>
      <c r="C212" s="35"/>
      <c r="D212" s="36"/>
      <c r="E212" s="36"/>
      <c r="F212" s="36"/>
      <c r="G212" s="37"/>
      <c r="H212" s="36"/>
      <c r="I212" s="35"/>
      <c r="J212" s="35"/>
    </row>
    <row r="213" customFormat="false" ht="15" hidden="false" customHeight="false" outlineLevel="0" collapsed="false">
      <c r="B213" s="34"/>
      <c r="C213" s="35"/>
      <c r="D213" s="36"/>
      <c r="E213" s="36"/>
      <c r="F213" s="36"/>
      <c r="G213" s="37"/>
      <c r="H213" s="36"/>
      <c r="I213" s="35"/>
      <c r="J213" s="35"/>
    </row>
    <row r="214" customFormat="false" ht="15" hidden="false" customHeight="false" outlineLevel="0" collapsed="false">
      <c r="B214" s="34"/>
      <c r="C214" s="35"/>
      <c r="D214" s="36"/>
      <c r="E214" s="36"/>
      <c r="F214" s="36"/>
      <c r="G214" s="37"/>
      <c r="H214" s="36"/>
      <c r="I214" s="35"/>
      <c r="J214" s="35"/>
    </row>
    <row r="215" customFormat="false" ht="15" hidden="false" customHeight="false" outlineLevel="0" collapsed="false">
      <c r="B215" s="34"/>
      <c r="C215" s="35"/>
      <c r="D215" s="36"/>
      <c r="E215" s="36"/>
      <c r="F215" s="36"/>
      <c r="G215" s="37"/>
      <c r="H215" s="36"/>
      <c r="I215" s="35"/>
      <c r="J215" s="35"/>
    </row>
    <row r="216" customFormat="false" ht="15" hidden="false" customHeight="false" outlineLevel="0" collapsed="false">
      <c r="B216" s="34"/>
      <c r="C216" s="35"/>
      <c r="D216" s="36"/>
      <c r="E216" s="36"/>
      <c r="F216" s="36"/>
      <c r="G216" s="37"/>
      <c r="H216" s="36"/>
      <c r="I216" s="35"/>
      <c r="J216" s="35"/>
    </row>
    <row r="217" customFormat="false" ht="15" hidden="false" customHeight="false" outlineLevel="0" collapsed="false">
      <c r="B217" s="34"/>
      <c r="C217" s="35"/>
      <c r="D217" s="36"/>
      <c r="E217" s="36"/>
      <c r="F217" s="36"/>
      <c r="G217" s="37"/>
      <c r="H217" s="36"/>
      <c r="I217" s="35"/>
      <c r="J217" s="35"/>
    </row>
    <row r="218" customFormat="false" ht="15" hidden="false" customHeight="false" outlineLevel="0" collapsed="false">
      <c r="B218" s="34"/>
      <c r="C218" s="35"/>
      <c r="D218" s="36"/>
      <c r="E218" s="36"/>
      <c r="F218" s="36"/>
      <c r="G218" s="37"/>
      <c r="H218" s="36"/>
      <c r="I218" s="35"/>
      <c r="J218" s="35"/>
    </row>
    <row r="219" customFormat="false" ht="15" hidden="false" customHeight="false" outlineLevel="0" collapsed="false">
      <c r="B219" s="34"/>
      <c r="C219" s="35"/>
      <c r="D219" s="36"/>
      <c r="E219" s="36"/>
      <c r="F219" s="36"/>
      <c r="G219" s="37"/>
      <c r="H219" s="36"/>
      <c r="I219" s="35"/>
      <c r="J219" s="35"/>
    </row>
    <row r="220" customFormat="false" ht="15" hidden="false" customHeight="false" outlineLevel="0" collapsed="false">
      <c r="B220" s="34"/>
      <c r="C220" s="35"/>
      <c r="D220" s="36"/>
      <c r="E220" s="36"/>
      <c r="F220" s="36"/>
      <c r="G220" s="37"/>
      <c r="H220" s="36"/>
      <c r="I220" s="35"/>
      <c r="J220" s="35"/>
    </row>
    <row r="221" customFormat="false" ht="15" hidden="false" customHeight="false" outlineLevel="0" collapsed="false">
      <c r="B221" s="34"/>
      <c r="C221" s="35"/>
      <c r="D221" s="36"/>
      <c r="E221" s="36"/>
      <c r="F221" s="36"/>
      <c r="G221" s="37"/>
      <c r="H221" s="36"/>
      <c r="I221" s="35"/>
      <c r="J221" s="35"/>
    </row>
    <row r="222" customFormat="false" ht="15" hidden="false" customHeight="false" outlineLevel="0" collapsed="false">
      <c r="B222" s="34"/>
      <c r="C222" s="35"/>
      <c r="D222" s="36"/>
      <c r="E222" s="36"/>
      <c r="F222" s="36"/>
      <c r="G222" s="37"/>
      <c r="H222" s="36"/>
      <c r="I222" s="35"/>
      <c r="J222" s="35"/>
    </row>
    <row r="223" customFormat="false" ht="15" hidden="false" customHeight="false" outlineLevel="0" collapsed="false">
      <c r="B223" s="34"/>
      <c r="C223" s="35"/>
      <c r="D223" s="36"/>
      <c r="E223" s="36"/>
      <c r="F223" s="36"/>
      <c r="G223" s="37"/>
      <c r="H223" s="36"/>
      <c r="I223" s="35"/>
      <c r="J223" s="35"/>
    </row>
    <row r="224" customFormat="false" ht="15" hidden="false" customHeight="false" outlineLevel="0" collapsed="false">
      <c r="B224" s="34"/>
      <c r="C224" s="35"/>
      <c r="D224" s="36"/>
      <c r="E224" s="36"/>
      <c r="F224" s="36"/>
      <c r="G224" s="37"/>
      <c r="H224" s="36"/>
      <c r="I224" s="35"/>
      <c r="J224" s="35"/>
    </row>
    <row r="225" customFormat="false" ht="15" hidden="false" customHeight="false" outlineLevel="0" collapsed="false">
      <c r="B225" s="34"/>
      <c r="C225" s="35"/>
      <c r="D225" s="36"/>
      <c r="E225" s="36"/>
      <c r="F225" s="36"/>
      <c r="G225" s="37"/>
      <c r="H225" s="36"/>
      <c r="I225" s="35"/>
      <c r="J225" s="35"/>
    </row>
    <row r="226" customFormat="false" ht="15" hidden="false" customHeight="false" outlineLevel="0" collapsed="false">
      <c r="B226" s="34"/>
      <c r="C226" s="35"/>
      <c r="D226" s="36"/>
      <c r="E226" s="36"/>
      <c r="F226" s="36"/>
      <c r="G226" s="37"/>
      <c r="H226" s="36"/>
      <c r="I226" s="35"/>
      <c r="J226" s="35"/>
    </row>
    <row r="227" customFormat="false" ht="15" hidden="false" customHeight="false" outlineLevel="0" collapsed="false">
      <c r="B227" s="34"/>
      <c r="C227" s="35"/>
      <c r="D227" s="36"/>
      <c r="E227" s="36"/>
      <c r="F227" s="36"/>
      <c r="G227" s="37"/>
      <c r="H227" s="36"/>
      <c r="I227" s="35"/>
      <c r="J227" s="35"/>
    </row>
    <row r="228" customFormat="false" ht="15" hidden="false" customHeight="false" outlineLevel="0" collapsed="false">
      <c r="B228" s="34"/>
      <c r="C228" s="35"/>
      <c r="D228" s="36"/>
      <c r="E228" s="36"/>
      <c r="F228" s="36"/>
      <c r="G228" s="37"/>
      <c r="H228" s="36"/>
      <c r="I228" s="35"/>
      <c r="J228" s="35"/>
    </row>
    <row r="229" customFormat="false" ht="15" hidden="false" customHeight="false" outlineLevel="0" collapsed="false">
      <c r="B229" s="34"/>
      <c r="C229" s="35"/>
      <c r="D229" s="36"/>
      <c r="E229" s="36"/>
      <c r="F229" s="36"/>
      <c r="G229" s="37"/>
      <c r="H229" s="36"/>
      <c r="I229" s="35"/>
      <c r="J229" s="35"/>
    </row>
    <row r="230" customFormat="false" ht="15" hidden="false" customHeight="false" outlineLevel="0" collapsed="false">
      <c r="B230" s="34"/>
      <c r="C230" s="35"/>
      <c r="D230" s="36"/>
      <c r="E230" s="36"/>
      <c r="F230" s="36"/>
      <c r="G230" s="37"/>
      <c r="H230" s="36"/>
      <c r="I230" s="35"/>
      <c r="J230" s="35"/>
    </row>
    <row r="231" customFormat="false" ht="15" hidden="false" customHeight="false" outlineLevel="0" collapsed="false">
      <c r="B231" s="34"/>
      <c r="C231" s="35"/>
      <c r="D231" s="36"/>
      <c r="E231" s="36"/>
      <c r="F231" s="36"/>
      <c r="G231" s="37"/>
      <c r="H231" s="36"/>
      <c r="I231" s="35"/>
      <c r="J231" s="35"/>
    </row>
    <row r="232" customFormat="false" ht="15" hidden="false" customHeight="false" outlineLevel="0" collapsed="false">
      <c r="B232" s="34"/>
      <c r="C232" s="35"/>
      <c r="D232" s="36"/>
      <c r="E232" s="36"/>
      <c r="F232" s="36"/>
      <c r="G232" s="37"/>
      <c r="H232" s="36"/>
      <c r="I232" s="35"/>
      <c r="J232" s="35"/>
    </row>
    <row r="233" customFormat="false" ht="15" hidden="false" customHeight="false" outlineLevel="0" collapsed="false">
      <c r="B233" s="34"/>
      <c r="C233" s="35"/>
      <c r="D233" s="36"/>
      <c r="E233" s="36"/>
      <c r="F233" s="36"/>
      <c r="G233" s="37"/>
      <c r="H233" s="36"/>
      <c r="I233" s="35"/>
      <c r="J233" s="35"/>
    </row>
    <row r="234" customFormat="false" ht="15" hidden="false" customHeight="false" outlineLevel="0" collapsed="false">
      <c r="B234" s="34"/>
      <c r="C234" s="35"/>
      <c r="D234" s="36"/>
      <c r="E234" s="36"/>
      <c r="F234" s="36"/>
      <c r="G234" s="37"/>
      <c r="H234" s="36"/>
      <c r="I234" s="35"/>
      <c r="J234" s="35"/>
    </row>
    <row r="235" customFormat="false" ht="15" hidden="false" customHeight="false" outlineLevel="0" collapsed="false">
      <c r="B235" s="34"/>
      <c r="C235" s="35"/>
      <c r="D235" s="36"/>
      <c r="E235" s="36"/>
      <c r="F235" s="36"/>
      <c r="G235" s="37"/>
      <c r="H235" s="36"/>
      <c r="I235" s="35"/>
      <c r="J235" s="35"/>
    </row>
    <row r="236" customFormat="false" ht="15" hidden="false" customHeight="false" outlineLevel="0" collapsed="false">
      <c r="B236" s="34"/>
      <c r="C236" s="35"/>
      <c r="D236" s="36"/>
      <c r="E236" s="36"/>
      <c r="F236" s="36"/>
      <c r="G236" s="37"/>
      <c r="H236" s="36"/>
      <c r="I236" s="35"/>
      <c r="J236" s="35"/>
    </row>
    <row r="237" customFormat="false" ht="15" hidden="false" customHeight="false" outlineLevel="0" collapsed="false">
      <c r="B237" s="34"/>
      <c r="C237" s="35"/>
      <c r="D237" s="36"/>
      <c r="E237" s="36"/>
      <c r="F237" s="36"/>
      <c r="G237" s="37"/>
      <c r="H237" s="36"/>
      <c r="I237" s="35"/>
      <c r="J237" s="35"/>
    </row>
    <row r="238" customFormat="false" ht="15" hidden="false" customHeight="false" outlineLevel="0" collapsed="false">
      <c r="B238" s="34"/>
      <c r="C238" s="35"/>
      <c r="D238" s="36"/>
      <c r="E238" s="36"/>
      <c r="F238" s="36"/>
      <c r="G238" s="37"/>
      <c r="H238" s="36"/>
      <c r="I238" s="35"/>
      <c r="J238" s="35"/>
    </row>
    <row r="239" customFormat="false" ht="15" hidden="false" customHeight="false" outlineLevel="0" collapsed="false">
      <c r="B239" s="34"/>
      <c r="C239" s="35"/>
      <c r="D239" s="36"/>
      <c r="E239" s="36"/>
      <c r="F239" s="36"/>
      <c r="G239" s="37"/>
      <c r="H239" s="36"/>
      <c r="I239" s="35"/>
      <c r="J239" s="35"/>
    </row>
    <row r="240" customFormat="false" ht="15" hidden="false" customHeight="false" outlineLevel="0" collapsed="false">
      <c r="B240" s="34"/>
      <c r="C240" s="35"/>
      <c r="D240" s="36"/>
      <c r="E240" s="36"/>
      <c r="F240" s="36"/>
      <c r="G240" s="37"/>
      <c r="H240" s="36"/>
      <c r="I240" s="35"/>
      <c r="J240" s="35"/>
    </row>
    <row r="241" customFormat="false" ht="15" hidden="false" customHeight="false" outlineLevel="0" collapsed="false">
      <c r="B241" s="34"/>
      <c r="C241" s="35"/>
      <c r="D241" s="36"/>
      <c r="E241" s="36"/>
      <c r="F241" s="36"/>
      <c r="G241" s="37"/>
      <c r="H241" s="36"/>
      <c r="I241" s="35"/>
      <c r="J241" s="35"/>
    </row>
    <row r="242" customFormat="false" ht="15" hidden="false" customHeight="false" outlineLevel="0" collapsed="false">
      <c r="B242" s="34"/>
      <c r="C242" s="35"/>
      <c r="D242" s="36"/>
      <c r="E242" s="36"/>
      <c r="F242" s="36"/>
      <c r="G242" s="37"/>
      <c r="H242" s="36"/>
      <c r="I242" s="35"/>
      <c r="J242" s="35"/>
    </row>
    <row r="243" customFormat="false" ht="15" hidden="false" customHeight="false" outlineLevel="0" collapsed="false">
      <c r="B243" s="34"/>
      <c r="C243" s="35"/>
      <c r="D243" s="36"/>
      <c r="E243" s="36"/>
      <c r="F243" s="36"/>
      <c r="G243" s="37"/>
      <c r="H243" s="36"/>
      <c r="I243" s="35"/>
      <c r="J243" s="35"/>
    </row>
    <row r="244" customFormat="false" ht="15" hidden="false" customHeight="false" outlineLevel="0" collapsed="false">
      <c r="B244" s="34"/>
      <c r="C244" s="35"/>
      <c r="D244" s="36"/>
      <c r="E244" s="36"/>
      <c r="F244" s="36"/>
      <c r="G244" s="37"/>
      <c r="H244" s="36"/>
      <c r="I244" s="35"/>
      <c r="J244" s="35"/>
    </row>
    <row r="245" customFormat="false" ht="15" hidden="false" customHeight="false" outlineLevel="0" collapsed="false">
      <c r="B245" s="34"/>
      <c r="C245" s="35"/>
      <c r="D245" s="36"/>
      <c r="E245" s="36"/>
      <c r="F245" s="36"/>
      <c r="G245" s="37"/>
      <c r="H245" s="36"/>
      <c r="I245" s="35"/>
      <c r="J245" s="35"/>
    </row>
    <row r="246" customFormat="false" ht="15" hidden="false" customHeight="false" outlineLevel="0" collapsed="false">
      <c r="B246" s="34"/>
      <c r="C246" s="35"/>
      <c r="D246" s="36"/>
      <c r="E246" s="36"/>
      <c r="F246" s="36"/>
      <c r="G246" s="37"/>
      <c r="H246" s="36"/>
      <c r="I246" s="35"/>
      <c r="J246" s="35"/>
    </row>
    <row r="247" customFormat="false" ht="15" hidden="false" customHeight="false" outlineLevel="0" collapsed="false">
      <c r="B247" s="34"/>
      <c r="C247" s="35"/>
      <c r="D247" s="36"/>
      <c r="E247" s="36"/>
      <c r="F247" s="36"/>
      <c r="G247" s="37"/>
      <c r="H247" s="36"/>
      <c r="I247" s="35"/>
      <c r="J247" s="35"/>
    </row>
    <row r="248" customFormat="false" ht="15" hidden="false" customHeight="false" outlineLevel="0" collapsed="false">
      <c r="B248" s="34"/>
      <c r="C248" s="35"/>
      <c r="D248" s="36"/>
      <c r="E248" s="36"/>
      <c r="F248" s="36"/>
      <c r="G248" s="37"/>
      <c r="H248" s="36"/>
      <c r="I248" s="35"/>
      <c r="J248" s="35"/>
    </row>
    <row r="249" customFormat="false" ht="15" hidden="false" customHeight="false" outlineLevel="0" collapsed="false">
      <c r="B249" s="34"/>
      <c r="C249" s="35"/>
      <c r="D249" s="36"/>
      <c r="E249" s="36"/>
      <c r="F249" s="36"/>
      <c r="G249" s="37"/>
      <c r="H249" s="36"/>
      <c r="I249" s="35"/>
      <c r="J249" s="35"/>
    </row>
    <row r="250" customFormat="false" ht="15" hidden="false" customHeight="false" outlineLevel="0" collapsed="false">
      <c r="B250" s="34"/>
      <c r="C250" s="35"/>
      <c r="D250" s="36"/>
      <c r="E250" s="36"/>
      <c r="F250" s="36"/>
      <c r="G250" s="37"/>
      <c r="H250" s="36"/>
      <c r="I250" s="35"/>
      <c r="J250" s="35"/>
    </row>
    <row r="251" customFormat="false" ht="15" hidden="false" customHeight="false" outlineLevel="0" collapsed="false">
      <c r="B251" s="34"/>
      <c r="C251" s="35"/>
      <c r="D251" s="36"/>
      <c r="E251" s="36"/>
      <c r="F251" s="36"/>
      <c r="G251" s="37"/>
      <c r="H251" s="36"/>
      <c r="I251" s="35"/>
      <c r="J251" s="35"/>
    </row>
    <row r="252" customFormat="false" ht="15" hidden="false" customHeight="false" outlineLevel="0" collapsed="false">
      <c r="B252" s="34"/>
      <c r="C252" s="35"/>
      <c r="D252" s="36"/>
      <c r="E252" s="36"/>
      <c r="F252" s="36"/>
      <c r="G252" s="37"/>
      <c r="H252" s="36"/>
      <c r="I252" s="35"/>
      <c r="J252" s="35"/>
    </row>
    <row r="253" customFormat="false" ht="15" hidden="false" customHeight="false" outlineLevel="0" collapsed="false">
      <c r="B253" s="34"/>
      <c r="C253" s="35"/>
      <c r="D253" s="36"/>
      <c r="E253" s="36"/>
      <c r="F253" s="36"/>
      <c r="G253" s="37"/>
      <c r="H253" s="36"/>
      <c r="I253" s="35"/>
      <c r="J253" s="35"/>
    </row>
    <row r="254" customFormat="false" ht="15" hidden="false" customHeight="false" outlineLevel="0" collapsed="false">
      <c r="B254" s="34"/>
      <c r="C254" s="35"/>
      <c r="D254" s="36"/>
      <c r="E254" s="36"/>
      <c r="F254" s="36"/>
      <c r="G254" s="37"/>
      <c r="H254" s="36"/>
      <c r="I254" s="35"/>
      <c r="J254" s="35"/>
    </row>
    <row r="255" customFormat="false" ht="15" hidden="false" customHeight="false" outlineLevel="0" collapsed="false">
      <c r="B255" s="34"/>
      <c r="C255" s="35"/>
      <c r="D255" s="36"/>
      <c r="E255" s="36"/>
      <c r="F255" s="36"/>
      <c r="G255" s="37"/>
      <c r="H255" s="36"/>
      <c r="I255" s="35"/>
      <c r="J255" s="35"/>
    </row>
    <row r="256" customFormat="false" ht="15" hidden="false" customHeight="false" outlineLevel="0" collapsed="false">
      <c r="B256" s="34"/>
      <c r="C256" s="35"/>
      <c r="D256" s="36"/>
      <c r="E256" s="36"/>
      <c r="F256" s="36"/>
      <c r="G256" s="37"/>
      <c r="H256" s="36"/>
      <c r="I256" s="35"/>
      <c r="J256" s="35"/>
    </row>
    <row r="257" customFormat="false" ht="15" hidden="false" customHeight="false" outlineLevel="0" collapsed="false">
      <c r="B257" s="34"/>
      <c r="C257" s="35"/>
      <c r="D257" s="36"/>
      <c r="E257" s="36"/>
      <c r="F257" s="36"/>
      <c r="G257" s="37"/>
      <c r="H257" s="36"/>
      <c r="I257" s="35"/>
      <c r="J257" s="35"/>
    </row>
    <row r="258" customFormat="false" ht="15" hidden="false" customHeight="false" outlineLevel="0" collapsed="false">
      <c r="B258" s="34"/>
      <c r="C258" s="35"/>
      <c r="D258" s="36"/>
      <c r="E258" s="36"/>
      <c r="F258" s="36"/>
      <c r="G258" s="37"/>
      <c r="H258" s="36"/>
      <c r="I258" s="35"/>
      <c r="J258" s="35"/>
    </row>
    <row r="259" customFormat="false" ht="15" hidden="false" customHeight="false" outlineLevel="0" collapsed="false">
      <c r="B259" s="34"/>
      <c r="C259" s="35"/>
      <c r="D259" s="36"/>
      <c r="E259" s="36"/>
      <c r="F259" s="36"/>
      <c r="G259" s="37"/>
      <c r="H259" s="36"/>
      <c r="I259" s="35"/>
      <c r="J259" s="35"/>
    </row>
    <row r="260" customFormat="false" ht="15" hidden="false" customHeight="false" outlineLevel="0" collapsed="false">
      <c r="B260" s="34"/>
      <c r="C260" s="35"/>
      <c r="D260" s="36"/>
      <c r="E260" s="36"/>
      <c r="F260" s="36"/>
      <c r="G260" s="37"/>
      <c r="H260" s="36"/>
      <c r="I260" s="35"/>
      <c r="J260" s="35"/>
    </row>
    <row r="261" customFormat="false" ht="15" hidden="false" customHeight="false" outlineLevel="0" collapsed="false">
      <c r="B261" s="34"/>
      <c r="C261" s="35"/>
      <c r="D261" s="36"/>
      <c r="E261" s="36"/>
      <c r="F261" s="36"/>
      <c r="G261" s="37"/>
      <c r="H261" s="36"/>
      <c r="I261" s="35"/>
      <c r="J261" s="35"/>
    </row>
    <row r="262" customFormat="false" ht="15" hidden="false" customHeight="false" outlineLevel="0" collapsed="false">
      <c r="B262" s="34"/>
      <c r="C262" s="35"/>
      <c r="D262" s="36"/>
      <c r="E262" s="36"/>
      <c r="F262" s="36"/>
      <c r="G262" s="37"/>
      <c r="H262" s="36"/>
      <c r="I262" s="35"/>
      <c r="J262" s="35"/>
    </row>
    <row r="263" customFormat="false" ht="15" hidden="false" customHeight="false" outlineLevel="0" collapsed="false">
      <c r="B263" s="34"/>
      <c r="C263" s="35"/>
      <c r="D263" s="36"/>
      <c r="E263" s="36"/>
      <c r="F263" s="36"/>
      <c r="G263" s="37"/>
      <c r="H263" s="36"/>
      <c r="I263" s="35"/>
      <c r="J263" s="35"/>
    </row>
    <row r="264" customFormat="false" ht="15" hidden="false" customHeight="false" outlineLevel="0" collapsed="false">
      <c r="B264" s="34"/>
      <c r="C264" s="35"/>
      <c r="D264" s="36"/>
      <c r="E264" s="36"/>
      <c r="F264" s="36"/>
      <c r="G264" s="37"/>
      <c r="H264" s="36"/>
      <c r="I264" s="35"/>
      <c r="J264" s="35"/>
    </row>
    <row r="265" customFormat="false" ht="15" hidden="false" customHeight="false" outlineLevel="0" collapsed="false">
      <c r="B265" s="34"/>
      <c r="C265" s="35"/>
      <c r="D265" s="36"/>
      <c r="E265" s="36"/>
      <c r="F265" s="36"/>
      <c r="G265" s="37"/>
      <c r="H265" s="36"/>
      <c r="I265" s="35"/>
      <c r="J265" s="35"/>
    </row>
    <row r="266" customFormat="false" ht="15" hidden="false" customHeight="false" outlineLevel="0" collapsed="false">
      <c r="B266" s="34"/>
      <c r="C266" s="35"/>
      <c r="D266" s="36"/>
      <c r="E266" s="36"/>
      <c r="F266" s="36"/>
      <c r="G266" s="37"/>
      <c r="H266" s="36"/>
      <c r="I266" s="35"/>
      <c r="J266" s="35"/>
    </row>
    <row r="267" customFormat="false" ht="15" hidden="false" customHeight="false" outlineLevel="0" collapsed="false">
      <c r="B267" s="34"/>
      <c r="C267" s="35"/>
      <c r="D267" s="36"/>
      <c r="E267" s="36"/>
      <c r="F267" s="36"/>
      <c r="G267" s="37"/>
      <c r="H267" s="36"/>
      <c r="I267" s="35"/>
      <c r="J267" s="35"/>
    </row>
    <row r="268" customFormat="false" ht="15" hidden="false" customHeight="false" outlineLevel="0" collapsed="false">
      <c r="B268" s="34"/>
      <c r="C268" s="35"/>
      <c r="D268" s="36"/>
      <c r="E268" s="36"/>
      <c r="F268" s="36"/>
      <c r="G268" s="37"/>
      <c r="H268" s="36"/>
      <c r="I268" s="35"/>
      <c r="J268" s="35"/>
    </row>
    <row r="269" customFormat="false" ht="15" hidden="false" customHeight="false" outlineLevel="0" collapsed="false">
      <c r="B269" s="34"/>
      <c r="C269" s="35"/>
      <c r="D269" s="36"/>
      <c r="E269" s="36"/>
      <c r="F269" s="36"/>
      <c r="G269" s="37"/>
      <c r="H269" s="36"/>
      <c r="I269" s="35"/>
      <c r="J269" s="35"/>
    </row>
    <row r="270" customFormat="false" ht="15" hidden="false" customHeight="false" outlineLevel="0" collapsed="false">
      <c r="B270" s="34"/>
      <c r="C270" s="35"/>
      <c r="D270" s="36"/>
      <c r="E270" s="36"/>
      <c r="F270" s="36"/>
      <c r="G270" s="37"/>
      <c r="H270" s="36"/>
      <c r="I270" s="35"/>
      <c r="J270" s="35"/>
    </row>
    <row r="271" customFormat="false" ht="15" hidden="false" customHeight="false" outlineLevel="0" collapsed="false">
      <c r="B271" s="34"/>
      <c r="C271" s="35"/>
      <c r="D271" s="36"/>
      <c r="E271" s="36"/>
      <c r="F271" s="36"/>
      <c r="G271" s="37"/>
      <c r="H271" s="36"/>
      <c r="I271" s="35"/>
      <c r="J271" s="35"/>
    </row>
    <row r="272" customFormat="false" ht="15" hidden="false" customHeight="false" outlineLevel="0" collapsed="false">
      <c r="B272" s="34"/>
      <c r="C272" s="35"/>
      <c r="D272" s="36"/>
      <c r="E272" s="36"/>
      <c r="F272" s="36"/>
      <c r="G272" s="37"/>
      <c r="H272" s="36"/>
      <c r="I272" s="35"/>
      <c r="J272" s="35"/>
    </row>
    <row r="273" customFormat="false" ht="15" hidden="false" customHeight="false" outlineLevel="0" collapsed="false">
      <c r="B273" s="34"/>
      <c r="C273" s="35"/>
      <c r="D273" s="36"/>
      <c r="E273" s="36"/>
      <c r="F273" s="36"/>
      <c r="G273" s="37"/>
      <c r="H273" s="36"/>
      <c r="I273" s="35"/>
      <c r="J273" s="35"/>
    </row>
    <row r="274" customFormat="false" ht="15" hidden="false" customHeight="false" outlineLevel="0" collapsed="false">
      <c r="B274" s="34"/>
      <c r="C274" s="35"/>
      <c r="D274" s="36"/>
      <c r="E274" s="36"/>
      <c r="F274" s="36"/>
      <c r="G274" s="37"/>
      <c r="H274" s="36"/>
      <c r="I274" s="35"/>
      <c r="J274" s="35"/>
    </row>
    <row r="275" customFormat="false" ht="15" hidden="false" customHeight="false" outlineLevel="0" collapsed="false">
      <c r="B275" s="34"/>
      <c r="C275" s="35"/>
      <c r="D275" s="36"/>
      <c r="E275" s="36"/>
      <c r="F275" s="36"/>
      <c r="G275" s="37"/>
      <c r="H275" s="36"/>
      <c r="I275" s="35"/>
      <c r="J275" s="35"/>
    </row>
    <row r="276" customFormat="false" ht="15" hidden="false" customHeight="false" outlineLevel="0" collapsed="false">
      <c r="B276" s="34"/>
      <c r="C276" s="35"/>
      <c r="D276" s="36"/>
      <c r="E276" s="36"/>
      <c r="F276" s="36"/>
      <c r="G276" s="37"/>
      <c r="H276" s="36"/>
      <c r="I276" s="35"/>
      <c r="J276" s="35"/>
    </row>
    <row r="277" customFormat="false" ht="15" hidden="false" customHeight="false" outlineLevel="0" collapsed="false">
      <c r="B277" s="34"/>
      <c r="C277" s="35"/>
      <c r="D277" s="36"/>
      <c r="E277" s="36"/>
      <c r="F277" s="36"/>
      <c r="G277" s="37"/>
      <c r="H277" s="36"/>
      <c r="I277" s="35"/>
      <c r="J277" s="35"/>
    </row>
    <row r="278" customFormat="false" ht="15" hidden="false" customHeight="false" outlineLevel="0" collapsed="false">
      <c r="B278" s="34"/>
      <c r="C278" s="35"/>
      <c r="D278" s="36"/>
      <c r="E278" s="36"/>
      <c r="F278" s="36"/>
      <c r="G278" s="37"/>
      <c r="H278" s="36"/>
      <c r="I278" s="35"/>
      <c r="J278" s="35"/>
    </row>
    <row r="279" customFormat="false" ht="15" hidden="false" customHeight="false" outlineLevel="0" collapsed="false">
      <c r="B279" s="34"/>
      <c r="C279" s="35"/>
      <c r="D279" s="36"/>
      <c r="E279" s="36"/>
      <c r="F279" s="36"/>
      <c r="G279" s="37"/>
      <c r="H279" s="36"/>
      <c r="I279" s="35"/>
      <c r="J279" s="35"/>
    </row>
    <row r="280" customFormat="false" ht="15" hidden="false" customHeight="false" outlineLevel="0" collapsed="false">
      <c r="B280" s="34"/>
      <c r="C280" s="35"/>
      <c r="D280" s="36"/>
      <c r="E280" s="36"/>
      <c r="F280" s="36"/>
      <c r="G280" s="37"/>
      <c r="H280" s="36"/>
      <c r="I280" s="35"/>
      <c r="J280" s="35"/>
    </row>
    <row r="281" customFormat="false" ht="15" hidden="false" customHeight="false" outlineLevel="0" collapsed="false">
      <c r="B281" s="34"/>
      <c r="C281" s="35"/>
      <c r="D281" s="36"/>
      <c r="E281" s="36"/>
      <c r="F281" s="36"/>
      <c r="G281" s="37"/>
      <c r="H281" s="36"/>
      <c r="I281" s="35"/>
      <c r="J281" s="35"/>
    </row>
    <row r="282" customFormat="false" ht="15" hidden="false" customHeight="false" outlineLevel="0" collapsed="false">
      <c r="B282" s="34"/>
      <c r="C282" s="35"/>
      <c r="D282" s="36"/>
      <c r="E282" s="36"/>
      <c r="F282" s="36"/>
      <c r="G282" s="37"/>
      <c r="H282" s="36"/>
      <c r="I282" s="35"/>
      <c r="J282" s="35"/>
    </row>
    <row r="283" customFormat="false" ht="15" hidden="false" customHeight="false" outlineLevel="0" collapsed="false">
      <c r="B283" s="34"/>
      <c r="C283" s="35"/>
      <c r="D283" s="36"/>
      <c r="E283" s="36"/>
      <c r="F283" s="36"/>
      <c r="G283" s="37"/>
      <c r="H283" s="36"/>
      <c r="I283" s="35"/>
      <c r="J283" s="35"/>
    </row>
    <row r="284" customFormat="false" ht="15" hidden="false" customHeight="false" outlineLevel="0" collapsed="false">
      <c r="B284" s="34"/>
      <c r="C284" s="35"/>
      <c r="D284" s="36"/>
      <c r="E284" s="36"/>
      <c r="F284" s="36"/>
      <c r="G284" s="37"/>
      <c r="H284" s="36"/>
      <c r="I284" s="35"/>
      <c r="J284" s="35"/>
    </row>
    <row r="285" customFormat="false" ht="15" hidden="false" customHeight="false" outlineLevel="0" collapsed="false">
      <c r="B285" s="34"/>
      <c r="C285" s="35"/>
      <c r="D285" s="36"/>
      <c r="E285" s="36"/>
      <c r="F285" s="36"/>
      <c r="G285" s="37"/>
      <c r="H285" s="36"/>
      <c r="I285" s="35"/>
      <c r="J285" s="35"/>
    </row>
    <row r="286" customFormat="false" ht="15" hidden="false" customHeight="false" outlineLevel="0" collapsed="false">
      <c r="B286" s="34"/>
      <c r="C286" s="35"/>
      <c r="D286" s="36"/>
      <c r="E286" s="36"/>
      <c r="F286" s="36"/>
      <c r="G286" s="37"/>
      <c r="H286" s="36"/>
      <c r="I286" s="35"/>
      <c r="J286" s="35"/>
    </row>
    <row r="287" customFormat="false" ht="15" hidden="false" customHeight="false" outlineLevel="0" collapsed="false">
      <c r="B287" s="34"/>
      <c r="C287" s="35"/>
      <c r="D287" s="36"/>
      <c r="E287" s="36"/>
      <c r="F287" s="36"/>
      <c r="G287" s="37"/>
      <c r="H287" s="36"/>
      <c r="I287" s="35"/>
      <c r="J287" s="35"/>
    </row>
    <row r="288" customFormat="false" ht="15" hidden="false" customHeight="false" outlineLevel="0" collapsed="false">
      <c r="B288" s="34"/>
      <c r="C288" s="35"/>
      <c r="D288" s="36"/>
      <c r="E288" s="36"/>
      <c r="F288" s="36"/>
      <c r="G288" s="37"/>
      <c r="H288" s="36"/>
      <c r="I288" s="35"/>
      <c r="J288" s="35"/>
    </row>
    <row r="289" customFormat="false" ht="15" hidden="false" customHeight="false" outlineLevel="0" collapsed="false">
      <c r="B289" s="34"/>
      <c r="C289" s="35"/>
      <c r="D289" s="36"/>
      <c r="E289" s="36"/>
      <c r="F289" s="36"/>
      <c r="G289" s="37"/>
      <c r="H289" s="36"/>
      <c r="I289" s="35"/>
      <c r="J289" s="35"/>
    </row>
    <row r="290" customFormat="false" ht="15" hidden="false" customHeight="false" outlineLevel="0" collapsed="false">
      <c r="B290" s="34"/>
      <c r="C290" s="35"/>
      <c r="D290" s="36"/>
      <c r="E290" s="36"/>
      <c r="F290" s="36"/>
      <c r="G290" s="37"/>
      <c r="H290" s="36"/>
      <c r="I290" s="35"/>
      <c r="J290" s="35"/>
    </row>
    <row r="291" customFormat="false" ht="15" hidden="false" customHeight="false" outlineLevel="0" collapsed="false">
      <c r="B291" s="34"/>
      <c r="C291" s="35"/>
      <c r="D291" s="36"/>
      <c r="E291" s="36"/>
      <c r="F291" s="36"/>
      <c r="G291" s="37"/>
      <c r="H291" s="36"/>
      <c r="I291" s="35"/>
      <c r="J291" s="35"/>
    </row>
    <row r="292" customFormat="false" ht="15" hidden="false" customHeight="false" outlineLevel="0" collapsed="false">
      <c r="B292" s="34"/>
      <c r="C292" s="35"/>
      <c r="D292" s="36"/>
      <c r="E292" s="36"/>
      <c r="F292" s="36"/>
      <c r="G292" s="37"/>
      <c r="H292" s="36"/>
      <c r="I292" s="35"/>
      <c r="J292" s="35"/>
    </row>
    <row r="293" customFormat="false" ht="15" hidden="false" customHeight="false" outlineLevel="0" collapsed="false">
      <c r="B293" s="34"/>
      <c r="C293" s="35"/>
      <c r="D293" s="36"/>
      <c r="E293" s="36"/>
      <c r="F293" s="36"/>
      <c r="G293" s="37"/>
      <c r="H293" s="36"/>
      <c r="I293" s="35"/>
      <c r="J293" s="35"/>
    </row>
    <row r="294" customFormat="false" ht="15" hidden="false" customHeight="false" outlineLevel="0" collapsed="false">
      <c r="B294" s="34"/>
      <c r="C294" s="35"/>
      <c r="D294" s="36"/>
      <c r="E294" s="36"/>
      <c r="F294" s="36"/>
      <c r="G294" s="37"/>
      <c r="H294" s="36"/>
      <c r="I294" s="35"/>
      <c r="J294" s="35"/>
    </row>
    <row r="295" customFormat="false" ht="15" hidden="false" customHeight="false" outlineLevel="0" collapsed="false">
      <c r="B295" s="34"/>
      <c r="C295" s="35"/>
      <c r="D295" s="36"/>
      <c r="E295" s="36"/>
      <c r="F295" s="36"/>
      <c r="G295" s="37"/>
      <c r="H295" s="36"/>
      <c r="I295" s="35"/>
      <c r="J295" s="35"/>
    </row>
    <row r="296" customFormat="false" ht="15" hidden="false" customHeight="false" outlineLevel="0" collapsed="false">
      <c r="B296" s="34"/>
      <c r="C296" s="35"/>
      <c r="D296" s="36"/>
      <c r="E296" s="36"/>
      <c r="F296" s="36"/>
      <c r="G296" s="37"/>
      <c r="H296" s="36"/>
      <c r="I296" s="35"/>
      <c r="J296" s="35"/>
    </row>
    <row r="297" customFormat="false" ht="15" hidden="false" customHeight="false" outlineLevel="0" collapsed="false">
      <c r="B297" s="34"/>
      <c r="C297" s="35"/>
      <c r="D297" s="36"/>
      <c r="E297" s="36"/>
      <c r="F297" s="36"/>
      <c r="G297" s="37"/>
      <c r="H297" s="36"/>
      <c r="I297" s="35"/>
      <c r="J297" s="35"/>
    </row>
    <row r="298" customFormat="false" ht="15" hidden="false" customHeight="false" outlineLevel="0" collapsed="false">
      <c r="B298" s="34"/>
      <c r="C298" s="35"/>
      <c r="D298" s="36"/>
      <c r="E298" s="36"/>
      <c r="F298" s="36"/>
      <c r="G298" s="37"/>
      <c r="H298" s="36"/>
      <c r="I298" s="35"/>
      <c r="J298" s="35"/>
    </row>
    <row r="299" customFormat="false" ht="15" hidden="false" customHeight="false" outlineLevel="0" collapsed="false">
      <c r="B299" s="34"/>
      <c r="C299" s="35"/>
      <c r="D299" s="36"/>
      <c r="E299" s="36"/>
      <c r="F299" s="36"/>
      <c r="G299" s="37"/>
      <c r="H299" s="36"/>
      <c r="I299" s="35"/>
      <c r="J299" s="35"/>
    </row>
    <row r="300" customFormat="false" ht="15" hidden="false" customHeight="false" outlineLevel="0" collapsed="false">
      <c r="B300" s="34"/>
      <c r="C300" s="35"/>
      <c r="D300" s="36"/>
      <c r="E300" s="36"/>
      <c r="F300" s="36"/>
      <c r="G300" s="37"/>
      <c r="H300" s="36"/>
      <c r="I300" s="35"/>
      <c r="J300" s="35"/>
    </row>
    <row r="301" customFormat="false" ht="15" hidden="false" customHeight="false" outlineLevel="0" collapsed="false">
      <c r="B301" s="34"/>
      <c r="C301" s="35"/>
      <c r="D301" s="36"/>
      <c r="E301" s="36"/>
      <c r="F301" s="36"/>
      <c r="G301" s="37"/>
      <c r="H301" s="36"/>
      <c r="I301" s="35"/>
      <c r="J301" s="35"/>
    </row>
    <row r="302" customFormat="false" ht="15" hidden="false" customHeight="false" outlineLevel="0" collapsed="false">
      <c r="B302" s="34"/>
      <c r="C302" s="35"/>
      <c r="D302" s="36"/>
      <c r="E302" s="36"/>
      <c r="F302" s="36"/>
      <c r="G302" s="37"/>
      <c r="H302" s="36"/>
      <c r="I302" s="35"/>
      <c r="J302" s="35"/>
    </row>
    <row r="303" customFormat="false" ht="15" hidden="false" customHeight="false" outlineLevel="0" collapsed="false">
      <c r="B303" s="34"/>
      <c r="C303" s="35"/>
      <c r="D303" s="36"/>
      <c r="E303" s="36"/>
      <c r="F303" s="36"/>
      <c r="G303" s="37"/>
      <c r="H303" s="36"/>
      <c r="I303" s="35"/>
      <c r="J303" s="35"/>
    </row>
    <row r="304" customFormat="false" ht="15" hidden="false" customHeight="false" outlineLevel="0" collapsed="false">
      <c r="B304" s="34"/>
      <c r="C304" s="35"/>
      <c r="D304" s="36"/>
      <c r="E304" s="36"/>
      <c r="F304" s="36"/>
      <c r="G304" s="37"/>
      <c r="H304" s="36"/>
      <c r="I304" s="35"/>
      <c r="J304" s="35"/>
    </row>
    <row r="305" customFormat="false" ht="15" hidden="false" customHeight="false" outlineLevel="0" collapsed="false">
      <c r="B305" s="34"/>
      <c r="C305" s="35"/>
      <c r="D305" s="36"/>
      <c r="E305" s="36"/>
      <c r="F305" s="36"/>
      <c r="G305" s="37"/>
      <c r="H305" s="36"/>
      <c r="I305" s="35"/>
      <c r="J305" s="35"/>
    </row>
    <row r="306" customFormat="false" ht="15" hidden="false" customHeight="false" outlineLevel="0" collapsed="false">
      <c r="B306" s="34"/>
      <c r="C306" s="35"/>
      <c r="D306" s="36"/>
      <c r="E306" s="36"/>
      <c r="F306" s="36"/>
      <c r="G306" s="37"/>
      <c r="H306" s="36"/>
      <c r="I306" s="35"/>
      <c r="J306" s="35"/>
    </row>
    <row r="307" customFormat="false" ht="15" hidden="false" customHeight="false" outlineLevel="0" collapsed="false">
      <c r="B307" s="34"/>
      <c r="C307" s="35"/>
      <c r="D307" s="36"/>
      <c r="E307" s="36"/>
      <c r="F307" s="36"/>
      <c r="G307" s="37"/>
      <c r="H307" s="36"/>
      <c r="I307" s="35"/>
      <c r="J307" s="35"/>
    </row>
    <row r="308" customFormat="false" ht="15" hidden="false" customHeight="false" outlineLevel="0" collapsed="false">
      <c r="B308" s="34"/>
      <c r="C308" s="35"/>
      <c r="D308" s="36"/>
      <c r="E308" s="36"/>
      <c r="F308" s="36"/>
      <c r="G308" s="37"/>
      <c r="H308" s="36"/>
      <c r="I308" s="35"/>
      <c r="J308" s="35"/>
    </row>
    <row r="309" customFormat="false" ht="15" hidden="false" customHeight="false" outlineLevel="0" collapsed="false">
      <c r="B309" s="34"/>
      <c r="C309" s="35"/>
      <c r="D309" s="36"/>
      <c r="E309" s="36"/>
      <c r="F309" s="36"/>
      <c r="G309" s="37"/>
      <c r="H309" s="36"/>
      <c r="I309" s="35"/>
      <c r="J309" s="35"/>
    </row>
    <row r="310" customFormat="false" ht="15" hidden="false" customHeight="false" outlineLevel="0" collapsed="false">
      <c r="B310" s="34"/>
      <c r="C310" s="35"/>
      <c r="D310" s="36"/>
      <c r="E310" s="36"/>
      <c r="F310" s="36"/>
      <c r="G310" s="37"/>
      <c r="H310" s="36"/>
      <c r="I310" s="35"/>
      <c r="J310" s="35"/>
    </row>
    <row r="311" customFormat="false" ht="15" hidden="false" customHeight="false" outlineLevel="0" collapsed="false">
      <c r="B311" s="34"/>
      <c r="C311" s="35"/>
      <c r="D311" s="36"/>
      <c r="E311" s="36"/>
      <c r="F311" s="36"/>
      <c r="G311" s="37"/>
      <c r="H311" s="36"/>
      <c r="I311" s="35"/>
      <c r="J311" s="35"/>
    </row>
    <row r="312" customFormat="false" ht="15" hidden="false" customHeight="false" outlineLevel="0" collapsed="false">
      <c r="B312" s="34"/>
      <c r="C312" s="35"/>
      <c r="D312" s="36"/>
      <c r="E312" s="36"/>
      <c r="F312" s="36"/>
      <c r="G312" s="37"/>
      <c r="H312" s="36"/>
      <c r="I312" s="35"/>
      <c r="J312" s="35"/>
    </row>
    <row r="313" customFormat="false" ht="15" hidden="false" customHeight="false" outlineLevel="0" collapsed="false">
      <c r="B313" s="34"/>
      <c r="C313" s="35"/>
      <c r="D313" s="36"/>
      <c r="E313" s="36"/>
      <c r="F313" s="36"/>
      <c r="G313" s="37"/>
      <c r="H313" s="36"/>
      <c r="I313" s="35"/>
      <c r="J313" s="35"/>
    </row>
    <row r="314" customFormat="false" ht="15" hidden="false" customHeight="false" outlineLevel="0" collapsed="false">
      <c r="B314" s="34"/>
      <c r="C314" s="35"/>
      <c r="D314" s="36"/>
      <c r="E314" s="36"/>
      <c r="F314" s="36"/>
      <c r="G314" s="37"/>
      <c r="H314" s="36"/>
      <c r="I314" s="35"/>
      <c r="J314" s="35"/>
    </row>
    <row r="315" customFormat="false" ht="15" hidden="false" customHeight="false" outlineLevel="0" collapsed="false">
      <c r="B315" s="34"/>
      <c r="C315" s="35"/>
      <c r="D315" s="36"/>
      <c r="E315" s="36"/>
      <c r="F315" s="36"/>
      <c r="G315" s="37"/>
      <c r="H315" s="36"/>
      <c r="I315" s="35"/>
      <c r="J315" s="35"/>
    </row>
    <row r="316" customFormat="false" ht="15" hidden="false" customHeight="false" outlineLevel="0" collapsed="false">
      <c r="B316" s="34"/>
      <c r="C316" s="35"/>
      <c r="D316" s="36"/>
      <c r="E316" s="36"/>
      <c r="F316" s="36"/>
      <c r="G316" s="37"/>
      <c r="H316" s="36"/>
      <c r="I316" s="35"/>
      <c r="J316" s="35"/>
    </row>
    <row r="317" customFormat="false" ht="15" hidden="false" customHeight="false" outlineLevel="0" collapsed="false">
      <c r="B317" s="34"/>
      <c r="C317" s="35"/>
      <c r="D317" s="36"/>
      <c r="E317" s="36"/>
      <c r="F317" s="36"/>
      <c r="G317" s="37"/>
      <c r="H317" s="36"/>
      <c r="I317" s="35"/>
      <c r="J317" s="35"/>
    </row>
    <row r="318" customFormat="false" ht="15" hidden="false" customHeight="false" outlineLevel="0" collapsed="false">
      <c r="B318" s="34"/>
      <c r="C318" s="35"/>
      <c r="D318" s="36"/>
      <c r="E318" s="36"/>
      <c r="F318" s="36"/>
      <c r="G318" s="37"/>
      <c r="H318" s="36"/>
      <c r="I318" s="35"/>
      <c r="J318" s="35"/>
    </row>
    <row r="319" customFormat="false" ht="15" hidden="false" customHeight="false" outlineLevel="0" collapsed="false">
      <c r="B319" s="34"/>
      <c r="C319" s="35"/>
      <c r="D319" s="36"/>
      <c r="E319" s="36"/>
      <c r="F319" s="36"/>
      <c r="G319" s="37"/>
      <c r="H319" s="36"/>
      <c r="I319" s="35"/>
      <c r="J319" s="35"/>
    </row>
    <row r="320" customFormat="false" ht="15" hidden="false" customHeight="false" outlineLevel="0" collapsed="false">
      <c r="B320" s="34"/>
      <c r="C320" s="35"/>
      <c r="D320" s="36"/>
      <c r="E320" s="36"/>
      <c r="F320" s="36"/>
      <c r="G320" s="37"/>
      <c r="H320" s="36"/>
      <c r="I320" s="35"/>
      <c r="J320" s="35"/>
    </row>
    <row r="321" customFormat="false" ht="15" hidden="false" customHeight="false" outlineLevel="0" collapsed="false">
      <c r="B321" s="34"/>
      <c r="C321" s="35"/>
      <c r="D321" s="36"/>
      <c r="E321" s="36"/>
      <c r="F321" s="36"/>
      <c r="G321" s="37"/>
      <c r="H321" s="36"/>
      <c r="I321" s="35"/>
      <c r="J321" s="35"/>
    </row>
    <row r="322" customFormat="false" ht="15" hidden="false" customHeight="false" outlineLevel="0" collapsed="false">
      <c r="B322" s="34"/>
      <c r="C322" s="35"/>
      <c r="D322" s="36"/>
      <c r="E322" s="36"/>
      <c r="F322" s="36"/>
      <c r="G322" s="37"/>
      <c r="H322" s="36"/>
      <c r="I322" s="35"/>
      <c r="J322" s="35"/>
    </row>
    <row r="323" customFormat="false" ht="15" hidden="false" customHeight="false" outlineLevel="0" collapsed="false">
      <c r="B323" s="34"/>
      <c r="C323" s="35"/>
      <c r="D323" s="36"/>
      <c r="E323" s="36"/>
      <c r="F323" s="36"/>
      <c r="G323" s="37"/>
      <c r="H323" s="36"/>
      <c r="I323" s="35"/>
      <c r="J323" s="35"/>
    </row>
    <row r="324" customFormat="false" ht="15" hidden="false" customHeight="false" outlineLevel="0" collapsed="false">
      <c r="B324" s="34"/>
      <c r="C324" s="35"/>
      <c r="D324" s="36"/>
      <c r="E324" s="36"/>
      <c r="F324" s="36"/>
      <c r="G324" s="37"/>
      <c r="H324" s="36"/>
      <c r="I324" s="35"/>
      <c r="J324" s="35"/>
    </row>
    <row r="325" customFormat="false" ht="15" hidden="false" customHeight="false" outlineLevel="0" collapsed="false">
      <c r="B325" s="34"/>
      <c r="C325" s="35"/>
      <c r="D325" s="36"/>
      <c r="E325" s="36"/>
      <c r="F325" s="36"/>
      <c r="G325" s="37"/>
      <c r="H325" s="36"/>
      <c r="I325" s="35"/>
      <c r="J325" s="35"/>
    </row>
    <row r="326" customFormat="false" ht="15" hidden="false" customHeight="false" outlineLevel="0" collapsed="false">
      <c r="B326" s="34"/>
      <c r="C326" s="35"/>
      <c r="D326" s="36"/>
      <c r="E326" s="36"/>
      <c r="F326" s="36"/>
      <c r="G326" s="37"/>
      <c r="H326" s="36"/>
      <c r="I326" s="35"/>
      <c r="J326" s="35"/>
    </row>
    <row r="327" customFormat="false" ht="15" hidden="false" customHeight="false" outlineLevel="0" collapsed="false">
      <c r="B327" s="34"/>
      <c r="C327" s="35"/>
      <c r="D327" s="36"/>
      <c r="E327" s="36"/>
      <c r="F327" s="36"/>
      <c r="G327" s="37"/>
      <c r="H327" s="36"/>
      <c r="I327" s="35"/>
      <c r="J327" s="35"/>
    </row>
    <row r="328" customFormat="false" ht="15" hidden="false" customHeight="false" outlineLevel="0" collapsed="false">
      <c r="B328" s="34"/>
      <c r="C328" s="35"/>
      <c r="D328" s="36"/>
      <c r="E328" s="36"/>
      <c r="F328" s="36"/>
      <c r="G328" s="37"/>
      <c r="H328" s="36"/>
      <c r="I328" s="35"/>
      <c r="J328" s="35"/>
    </row>
    <row r="329" customFormat="false" ht="15" hidden="false" customHeight="false" outlineLevel="0" collapsed="false">
      <c r="B329" s="34"/>
      <c r="C329" s="35"/>
      <c r="D329" s="36"/>
      <c r="E329" s="36"/>
      <c r="F329" s="36"/>
      <c r="G329" s="37"/>
      <c r="H329" s="36"/>
      <c r="I329" s="35"/>
      <c r="J329" s="35"/>
    </row>
    <row r="330" customFormat="false" ht="15" hidden="false" customHeight="false" outlineLevel="0" collapsed="false">
      <c r="B330" s="34"/>
      <c r="C330" s="35"/>
      <c r="D330" s="36"/>
      <c r="E330" s="36"/>
      <c r="F330" s="36"/>
      <c r="G330" s="37"/>
      <c r="H330" s="36"/>
      <c r="I330" s="35"/>
      <c r="J330" s="35"/>
    </row>
    <row r="331" customFormat="false" ht="15" hidden="false" customHeight="false" outlineLevel="0" collapsed="false">
      <c r="B331" s="34"/>
      <c r="C331" s="35"/>
      <c r="D331" s="36"/>
      <c r="E331" s="36"/>
      <c r="F331" s="36"/>
      <c r="G331" s="37"/>
      <c r="H331" s="36"/>
      <c r="I331" s="35"/>
      <c r="J331" s="35"/>
    </row>
    <row r="332" customFormat="false" ht="15" hidden="false" customHeight="false" outlineLevel="0" collapsed="false">
      <c r="B332" s="34"/>
      <c r="C332" s="35"/>
      <c r="D332" s="36"/>
      <c r="E332" s="36"/>
      <c r="F332" s="36"/>
      <c r="G332" s="37"/>
      <c r="H332" s="36"/>
      <c r="I332" s="35"/>
      <c r="J332" s="35"/>
    </row>
    <row r="333" customFormat="false" ht="15" hidden="false" customHeight="false" outlineLevel="0" collapsed="false">
      <c r="B333" s="34"/>
      <c r="C333" s="35"/>
      <c r="D333" s="36"/>
      <c r="E333" s="36"/>
      <c r="F333" s="36"/>
      <c r="G333" s="37"/>
      <c r="H333" s="36"/>
      <c r="I333" s="35"/>
      <c r="J333" s="35"/>
    </row>
    <row r="334" customFormat="false" ht="15" hidden="false" customHeight="false" outlineLevel="0" collapsed="false">
      <c r="B334" s="34"/>
      <c r="C334" s="35"/>
      <c r="D334" s="36"/>
      <c r="E334" s="36"/>
      <c r="F334" s="36"/>
      <c r="G334" s="37"/>
      <c r="H334" s="36"/>
      <c r="I334" s="35"/>
      <c r="J334" s="35"/>
    </row>
    <row r="335" customFormat="false" ht="15" hidden="false" customHeight="false" outlineLevel="0" collapsed="false">
      <c r="B335" s="34"/>
      <c r="C335" s="35"/>
      <c r="D335" s="36"/>
      <c r="E335" s="36"/>
      <c r="F335" s="36"/>
      <c r="G335" s="37"/>
      <c r="H335" s="36"/>
      <c r="I335" s="35"/>
      <c r="J335" s="35"/>
    </row>
    <row r="336" customFormat="false" ht="15" hidden="false" customHeight="false" outlineLevel="0" collapsed="false">
      <c r="B336" s="34"/>
      <c r="C336" s="35"/>
      <c r="D336" s="36"/>
      <c r="E336" s="36"/>
      <c r="F336" s="36"/>
      <c r="G336" s="37"/>
      <c r="H336" s="36"/>
      <c r="I336" s="35"/>
      <c r="J336" s="35"/>
    </row>
    <row r="337" customFormat="false" ht="15" hidden="false" customHeight="false" outlineLevel="0" collapsed="false">
      <c r="B337" s="34"/>
      <c r="C337" s="35"/>
      <c r="D337" s="36"/>
      <c r="E337" s="36"/>
      <c r="F337" s="36"/>
      <c r="G337" s="37"/>
      <c r="H337" s="36"/>
      <c r="I337" s="35"/>
      <c r="J337" s="35"/>
    </row>
    <row r="338" customFormat="false" ht="15" hidden="false" customHeight="false" outlineLevel="0" collapsed="false">
      <c r="B338" s="34"/>
      <c r="C338" s="35"/>
      <c r="D338" s="36"/>
      <c r="E338" s="36"/>
      <c r="F338" s="36"/>
      <c r="G338" s="37"/>
      <c r="H338" s="36"/>
      <c r="I338" s="35"/>
      <c r="J338" s="35"/>
    </row>
    <row r="339" customFormat="false" ht="15" hidden="false" customHeight="false" outlineLevel="0" collapsed="false">
      <c r="B339" s="34"/>
      <c r="C339" s="35"/>
      <c r="D339" s="36"/>
      <c r="E339" s="36"/>
      <c r="F339" s="36"/>
      <c r="G339" s="37"/>
      <c r="H339" s="36"/>
      <c r="I339" s="35"/>
      <c r="J339" s="35"/>
    </row>
    <row r="340" customFormat="false" ht="15" hidden="false" customHeight="false" outlineLevel="0" collapsed="false">
      <c r="B340" s="34"/>
      <c r="C340" s="35"/>
      <c r="D340" s="36"/>
      <c r="E340" s="36"/>
      <c r="F340" s="36"/>
      <c r="G340" s="37"/>
      <c r="H340" s="36"/>
      <c r="I340" s="35"/>
      <c r="J340" s="35"/>
    </row>
    <row r="341" customFormat="false" ht="15" hidden="false" customHeight="false" outlineLevel="0" collapsed="false">
      <c r="B341" s="34"/>
      <c r="C341" s="35"/>
      <c r="D341" s="36"/>
      <c r="E341" s="36"/>
      <c r="F341" s="36"/>
      <c r="G341" s="37"/>
      <c r="H341" s="36"/>
      <c r="I341" s="35"/>
      <c r="J341" s="35"/>
    </row>
    <row r="342" customFormat="false" ht="15" hidden="false" customHeight="false" outlineLevel="0" collapsed="false">
      <c r="B342" s="34"/>
      <c r="C342" s="35"/>
      <c r="D342" s="36"/>
      <c r="E342" s="36"/>
      <c r="F342" s="36"/>
      <c r="G342" s="37"/>
      <c r="H342" s="36"/>
      <c r="I342" s="35"/>
      <c r="J342" s="35"/>
    </row>
    <row r="343" customFormat="false" ht="15" hidden="false" customHeight="false" outlineLevel="0" collapsed="false">
      <c r="B343" s="34"/>
      <c r="C343" s="35"/>
      <c r="D343" s="36"/>
      <c r="E343" s="36"/>
      <c r="F343" s="36"/>
      <c r="G343" s="37"/>
      <c r="H343" s="36"/>
      <c r="I343" s="35"/>
      <c r="J343" s="35"/>
    </row>
    <row r="344" customFormat="false" ht="15" hidden="false" customHeight="false" outlineLevel="0" collapsed="false">
      <c r="B344" s="34"/>
      <c r="C344" s="35"/>
      <c r="D344" s="36"/>
      <c r="E344" s="36"/>
      <c r="F344" s="36"/>
      <c r="G344" s="37"/>
      <c r="H344" s="36"/>
      <c r="I344" s="35"/>
      <c r="J344" s="35"/>
    </row>
    <row r="345" customFormat="false" ht="15" hidden="false" customHeight="false" outlineLevel="0" collapsed="false">
      <c r="B345" s="34"/>
      <c r="C345" s="35"/>
      <c r="D345" s="36"/>
      <c r="E345" s="36"/>
      <c r="F345" s="36"/>
      <c r="G345" s="37"/>
      <c r="H345" s="36"/>
      <c r="I345" s="35"/>
      <c r="J345" s="35"/>
    </row>
    <row r="346" customFormat="false" ht="15" hidden="false" customHeight="false" outlineLevel="0" collapsed="false">
      <c r="B346" s="34"/>
      <c r="C346" s="35"/>
      <c r="D346" s="36"/>
      <c r="E346" s="36"/>
      <c r="F346" s="36"/>
      <c r="G346" s="37"/>
      <c r="H346" s="36"/>
      <c r="I346" s="35"/>
      <c r="J346" s="35"/>
    </row>
    <row r="347" customFormat="false" ht="15" hidden="false" customHeight="false" outlineLevel="0" collapsed="false">
      <c r="B347" s="34"/>
      <c r="C347" s="35"/>
      <c r="D347" s="36"/>
      <c r="E347" s="36"/>
      <c r="F347" s="36"/>
      <c r="G347" s="37"/>
      <c r="H347" s="36"/>
      <c r="I347" s="35"/>
      <c r="J347" s="35"/>
    </row>
    <row r="348" customFormat="false" ht="15" hidden="false" customHeight="false" outlineLevel="0" collapsed="false">
      <c r="B348" s="34"/>
      <c r="C348" s="35"/>
      <c r="D348" s="36"/>
      <c r="E348" s="36"/>
      <c r="F348" s="36"/>
      <c r="G348" s="37"/>
      <c r="H348" s="36"/>
      <c r="I348" s="35"/>
      <c r="J348" s="35"/>
    </row>
    <row r="349" customFormat="false" ht="15" hidden="false" customHeight="false" outlineLevel="0" collapsed="false">
      <c r="B349" s="34"/>
      <c r="C349" s="35"/>
      <c r="D349" s="36"/>
      <c r="E349" s="36"/>
      <c r="F349" s="36"/>
      <c r="G349" s="37"/>
      <c r="H349" s="36"/>
      <c r="I349" s="35"/>
      <c r="J349" s="35"/>
    </row>
    <row r="350" customFormat="false" ht="15" hidden="false" customHeight="false" outlineLevel="0" collapsed="false">
      <c r="B350" s="34"/>
      <c r="C350" s="35"/>
      <c r="D350" s="36"/>
      <c r="E350" s="36"/>
      <c r="F350" s="36"/>
      <c r="G350" s="37"/>
      <c r="H350" s="36"/>
      <c r="I350" s="35"/>
      <c r="J350" s="35"/>
    </row>
    <row r="351" customFormat="false" ht="15" hidden="false" customHeight="false" outlineLevel="0" collapsed="false">
      <c r="B351" s="34"/>
      <c r="C351" s="35"/>
      <c r="D351" s="36"/>
      <c r="E351" s="36"/>
      <c r="F351" s="36"/>
      <c r="G351" s="37"/>
      <c r="H351" s="36"/>
      <c r="I351" s="35"/>
      <c r="J351" s="35"/>
    </row>
    <row r="352" customFormat="false" ht="15" hidden="false" customHeight="false" outlineLevel="0" collapsed="false">
      <c r="B352" s="34"/>
      <c r="C352" s="35"/>
      <c r="D352" s="36"/>
      <c r="E352" s="36"/>
      <c r="F352" s="36"/>
      <c r="G352" s="37"/>
      <c r="H352" s="36"/>
      <c r="I352" s="35"/>
      <c r="J352" s="35"/>
    </row>
    <row r="353" customFormat="false" ht="15" hidden="false" customHeight="false" outlineLevel="0" collapsed="false">
      <c r="B353" s="34"/>
      <c r="C353" s="35"/>
      <c r="D353" s="36"/>
      <c r="E353" s="36"/>
      <c r="F353" s="36"/>
      <c r="G353" s="37"/>
      <c r="H353" s="36"/>
      <c r="I353" s="35"/>
      <c r="J353" s="35"/>
    </row>
    <row r="354" customFormat="false" ht="15" hidden="false" customHeight="false" outlineLevel="0" collapsed="false">
      <c r="B354" s="34"/>
      <c r="C354" s="35"/>
      <c r="D354" s="36"/>
      <c r="E354" s="36"/>
      <c r="F354" s="36"/>
      <c r="G354" s="37"/>
      <c r="H354" s="36"/>
      <c r="I354" s="35"/>
      <c r="J354" s="35"/>
    </row>
    <row r="355" customFormat="false" ht="15" hidden="false" customHeight="false" outlineLevel="0" collapsed="false">
      <c r="B355" s="34"/>
      <c r="C355" s="35"/>
      <c r="D355" s="36"/>
      <c r="E355" s="36"/>
      <c r="F355" s="36"/>
      <c r="G355" s="37"/>
      <c r="H355" s="36"/>
      <c r="I355" s="35"/>
      <c r="J355" s="35"/>
    </row>
    <row r="356" customFormat="false" ht="15" hidden="false" customHeight="false" outlineLevel="0" collapsed="false">
      <c r="B356" s="34"/>
      <c r="C356" s="35"/>
      <c r="D356" s="36"/>
      <c r="E356" s="36"/>
      <c r="F356" s="36"/>
      <c r="G356" s="37"/>
      <c r="H356" s="36"/>
      <c r="I356" s="35"/>
      <c r="J356" s="35"/>
    </row>
    <row r="357" customFormat="false" ht="15" hidden="false" customHeight="false" outlineLevel="0" collapsed="false">
      <c r="B357" s="34"/>
      <c r="C357" s="35"/>
      <c r="D357" s="36"/>
      <c r="E357" s="36"/>
      <c r="F357" s="36"/>
      <c r="G357" s="37"/>
      <c r="H357" s="36"/>
      <c r="I357" s="35"/>
      <c r="J357" s="35"/>
    </row>
    <row r="358" customFormat="false" ht="15" hidden="false" customHeight="false" outlineLevel="0" collapsed="false">
      <c r="B358" s="34"/>
      <c r="C358" s="35"/>
      <c r="D358" s="36"/>
      <c r="E358" s="36"/>
      <c r="F358" s="36"/>
      <c r="G358" s="37"/>
      <c r="H358" s="36"/>
      <c r="I358" s="35"/>
      <c r="J358" s="35"/>
    </row>
    <row r="359" customFormat="false" ht="15" hidden="false" customHeight="false" outlineLevel="0" collapsed="false">
      <c r="B359" s="34"/>
      <c r="C359" s="35"/>
      <c r="D359" s="36"/>
      <c r="E359" s="36"/>
      <c r="F359" s="36"/>
      <c r="G359" s="37"/>
      <c r="H359" s="36"/>
      <c r="I359" s="35"/>
      <c r="J359" s="35"/>
    </row>
    <row r="360" customFormat="false" ht="15" hidden="false" customHeight="false" outlineLevel="0" collapsed="false">
      <c r="B360" s="34"/>
      <c r="C360" s="35"/>
      <c r="D360" s="36"/>
      <c r="E360" s="36"/>
      <c r="F360" s="36"/>
      <c r="G360" s="37"/>
      <c r="H360" s="36"/>
      <c r="I360" s="35"/>
      <c r="J360" s="35"/>
    </row>
    <row r="361" customFormat="false" ht="15" hidden="false" customHeight="false" outlineLevel="0" collapsed="false">
      <c r="B361" s="34"/>
      <c r="C361" s="35"/>
      <c r="D361" s="36"/>
      <c r="E361" s="36"/>
      <c r="F361" s="36"/>
      <c r="G361" s="37"/>
      <c r="H361" s="36"/>
      <c r="I361" s="35"/>
      <c r="J361" s="35"/>
    </row>
    <row r="362" customFormat="false" ht="15" hidden="false" customHeight="false" outlineLevel="0" collapsed="false">
      <c r="B362" s="34"/>
      <c r="C362" s="35"/>
      <c r="D362" s="36"/>
      <c r="E362" s="36"/>
      <c r="F362" s="36"/>
      <c r="G362" s="37"/>
      <c r="H362" s="36"/>
      <c r="I362" s="35"/>
      <c r="J362" s="35"/>
    </row>
    <row r="363" customFormat="false" ht="15" hidden="false" customHeight="false" outlineLevel="0" collapsed="false">
      <c r="B363" s="34"/>
      <c r="C363" s="35"/>
      <c r="D363" s="36"/>
      <c r="E363" s="36"/>
      <c r="F363" s="36"/>
      <c r="G363" s="37"/>
      <c r="H363" s="36"/>
      <c r="I363" s="35"/>
      <c r="J363" s="35"/>
    </row>
    <row r="364" customFormat="false" ht="15" hidden="false" customHeight="false" outlineLevel="0" collapsed="false">
      <c r="B364" s="34"/>
      <c r="C364" s="35"/>
      <c r="D364" s="36"/>
      <c r="E364" s="36"/>
      <c r="F364" s="36"/>
      <c r="G364" s="37"/>
      <c r="H364" s="36"/>
      <c r="I364" s="35"/>
      <c r="J364" s="35"/>
    </row>
    <row r="365" customFormat="false" ht="15" hidden="false" customHeight="false" outlineLevel="0" collapsed="false">
      <c r="B365" s="34"/>
      <c r="C365" s="35"/>
      <c r="D365" s="36"/>
      <c r="E365" s="36"/>
      <c r="F365" s="36"/>
      <c r="G365" s="37"/>
      <c r="H365" s="36"/>
      <c r="I365" s="35"/>
      <c r="J365" s="35"/>
    </row>
    <row r="366" customFormat="false" ht="15" hidden="false" customHeight="false" outlineLevel="0" collapsed="false">
      <c r="B366" s="34"/>
      <c r="C366" s="35"/>
      <c r="D366" s="36"/>
      <c r="E366" s="36"/>
      <c r="F366" s="36"/>
      <c r="G366" s="37"/>
      <c r="H366" s="36"/>
      <c r="I366" s="35"/>
      <c r="J366" s="35"/>
    </row>
    <row r="367" customFormat="false" ht="15" hidden="false" customHeight="false" outlineLevel="0" collapsed="false">
      <c r="B367" s="34"/>
      <c r="C367" s="35"/>
      <c r="D367" s="36"/>
      <c r="E367" s="36"/>
      <c r="F367" s="36"/>
      <c r="G367" s="37"/>
      <c r="H367" s="36"/>
      <c r="I367" s="35"/>
      <c r="J367" s="35"/>
    </row>
    <row r="368" customFormat="false" ht="15" hidden="false" customHeight="false" outlineLevel="0" collapsed="false">
      <c r="B368" s="34"/>
      <c r="C368" s="35"/>
      <c r="D368" s="36"/>
      <c r="E368" s="36"/>
      <c r="F368" s="36"/>
      <c r="G368" s="37"/>
      <c r="H368" s="36"/>
      <c r="I368" s="35"/>
      <c r="J368" s="35"/>
    </row>
    <row r="369" customFormat="false" ht="15" hidden="false" customHeight="false" outlineLevel="0" collapsed="false">
      <c r="B369" s="34"/>
      <c r="C369" s="35"/>
      <c r="D369" s="36"/>
      <c r="E369" s="36"/>
      <c r="F369" s="36"/>
      <c r="G369" s="37"/>
      <c r="H369" s="36"/>
      <c r="I369" s="35"/>
      <c r="J369" s="35"/>
    </row>
    <row r="370" customFormat="false" ht="15" hidden="false" customHeight="false" outlineLevel="0" collapsed="false">
      <c r="B370" s="34"/>
      <c r="C370" s="35"/>
      <c r="D370" s="36"/>
      <c r="E370" s="36"/>
      <c r="F370" s="36"/>
      <c r="G370" s="37"/>
      <c r="H370" s="36"/>
      <c r="I370" s="35"/>
      <c r="J370" s="35"/>
    </row>
    <row r="371" customFormat="false" ht="15" hidden="false" customHeight="false" outlineLevel="0" collapsed="false">
      <c r="B371" s="34"/>
      <c r="C371" s="35"/>
      <c r="D371" s="36"/>
      <c r="E371" s="36"/>
      <c r="F371" s="36"/>
      <c r="G371" s="37"/>
      <c r="H371" s="36"/>
      <c r="I371" s="35"/>
      <c r="J371" s="35"/>
    </row>
    <row r="372" customFormat="false" ht="15" hidden="false" customHeight="false" outlineLevel="0" collapsed="false">
      <c r="B372" s="34"/>
      <c r="C372" s="35"/>
      <c r="D372" s="36"/>
      <c r="E372" s="36"/>
      <c r="F372" s="36"/>
      <c r="G372" s="37"/>
      <c r="H372" s="36"/>
      <c r="I372" s="35"/>
      <c r="J372" s="35"/>
    </row>
    <row r="373" customFormat="false" ht="15" hidden="false" customHeight="false" outlineLevel="0" collapsed="false">
      <c r="B373" s="34"/>
      <c r="C373" s="35"/>
      <c r="D373" s="36"/>
      <c r="E373" s="36"/>
      <c r="F373" s="36"/>
      <c r="G373" s="37"/>
      <c r="H373" s="36"/>
      <c r="I373" s="35"/>
      <c r="J373" s="35"/>
    </row>
    <row r="374" customFormat="false" ht="15" hidden="false" customHeight="false" outlineLevel="0" collapsed="false">
      <c r="B374" s="34"/>
      <c r="C374" s="35"/>
      <c r="D374" s="36"/>
      <c r="E374" s="36"/>
      <c r="F374" s="36"/>
      <c r="G374" s="37"/>
      <c r="H374" s="36"/>
      <c r="I374" s="35"/>
      <c r="J374" s="35"/>
    </row>
    <row r="375" customFormat="false" ht="15" hidden="false" customHeight="false" outlineLevel="0" collapsed="false">
      <c r="B375" s="34"/>
      <c r="C375" s="35"/>
      <c r="D375" s="36"/>
      <c r="E375" s="36"/>
      <c r="F375" s="36"/>
      <c r="G375" s="37"/>
      <c r="H375" s="36"/>
      <c r="I375" s="35"/>
      <c r="J375" s="35"/>
    </row>
    <row r="376" customFormat="false" ht="15" hidden="false" customHeight="false" outlineLevel="0" collapsed="false">
      <c r="B376" s="34"/>
      <c r="C376" s="35"/>
      <c r="D376" s="36"/>
      <c r="E376" s="36"/>
      <c r="F376" s="36"/>
      <c r="G376" s="37"/>
      <c r="H376" s="36"/>
      <c r="I376" s="35"/>
      <c r="J376" s="35"/>
    </row>
    <row r="377" customFormat="false" ht="15" hidden="false" customHeight="false" outlineLevel="0" collapsed="false">
      <c r="B377" s="34"/>
      <c r="C377" s="35"/>
      <c r="D377" s="36"/>
      <c r="E377" s="36"/>
      <c r="F377" s="36"/>
      <c r="G377" s="37"/>
      <c r="H377" s="36"/>
      <c r="I377" s="35"/>
      <c r="J377" s="35"/>
    </row>
    <row r="378" customFormat="false" ht="15" hidden="false" customHeight="false" outlineLevel="0" collapsed="false">
      <c r="B378" s="34"/>
      <c r="C378" s="35"/>
      <c r="D378" s="36"/>
      <c r="E378" s="36"/>
      <c r="F378" s="36"/>
      <c r="G378" s="37"/>
      <c r="H378" s="36"/>
      <c r="I378" s="35"/>
      <c r="J378" s="35"/>
    </row>
    <row r="379" customFormat="false" ht="15" hidden="false" customHeight="false" outlineLevel="0" collapsed="false">
      <c r="B379" s="34"/>
      <c r="C379" s="35"/>
      <c r="D379" s="36"/>
      <c r="E379" s="36"/>
      <c r="F379" s="36"/>
      <c r="G379" s="37"/>
      <c r="H379" s="36"/>
      <c r="I379" s="35"/>
      <c r="J379" s="35"/>
    </row>
    <row r="380" customFormat="false" ht="15" hidden="false" customHeight="false" outlineLevel="0" collapsed="false">
      <c r="B380" s="34"/>
      <c r="C380" s="35"/>
      <c r="D380" s="36"/>
      <c r="E380" s="36"/>
      <c r="F380" s="36"/>
      <c r="G380" s="37"/>
      <c r="H380" s="36"/>
      <c r="I380" s="35"/>
      <c r="J380" s="35"/>
    </row>
    <row r="381" customFormat="false" ht="15" hidden="false" customHeight="false" outlineLevel="0" collapsed="false">
      <c r="B381" s="34"/>
      <c r="C381" s="35"/>
      <c r="D381" s="36"/>
      <c r="E381" s="36"/>
      <c r="F381" s="36"/>
      <c r="G381" s="37"/>
      <c r="H381" s="36"/>
      <c r="I381" s="35"/>
      <c r="J381" s="35"/>
    </row>
    <row r="382" customFormat="false" ht="15" hidden="false" customHeight="false" outlineLevel="0" collapsed="false">
      <c r="B382" s="34"/>
      <c r="C382" s="35"/>
      <c r="D382" s="36"/>
      <c r="E382" s="36"/>
      <c r="F382" s="36"/>
      <c r="G382" s="37"/>
      <c r="H382" s="36"/>
      <c r="I382" s="35"/>
      <c r="J382" s="35"/>
    </row>
    <row r="383" customFormat="false" ht="15" hidden="false" customHeight="false" outlineLevel="0" collapsed="false">
      <c r="B383" s="34"/>
      <c r="C383" s="35"/>
      <c r="D383" s="36"/>
      <c r="E383" s="36"/>
      <c r="F383" s="36"/>
      <c r="G383" s="37"/>
      <c r="H383" s="36"/>
      <c r="I383" s="35"/>
      <c r="J383" s="35"/>
    </row>
    <row r="384" customFormat="false" ht="15" hidden="false" customHeight="false" outlineLevel="0" collapsed="false">
      <c r="B384" s="34"/>
      <c r="C384" s="35"/>
      <c r="D384" s="36"/>
      <c r="E384" s="36"/>
      <c r="F384" s="36"/>
      <c r="G384" s="37"/>
      <c r="H384" s="36"/>
      <c r="I384" s="35"/>
      <c r="J384" s="35"/>
    </row>
    <row r="385" customFormat="false" ht="15" hidden="false" customHeight="false" outlineLevel="0" collapsed="false">
      <c r="B385" s="34"/>
      <c r="C385" s="35"/>
      <c r="D385" s="36"/>
      <c r="E385" s="36"/>
      <c r="F385" s="36"/>
      <c r="G385" s="37"/>
      <c r="H385" s="36"/>
      <c r="I385" s="35"/>
      <c r="J385" s="35"/>
    </row>
    <row r="386" customFormat="false" ht="15" hidden="false" customHeight="false" outlineLevel="0" collapsed="false">
      <c r="B386" s="34"/>
      <c r="C386" s="35"/>
      <c r="D386" s="36"/>
      <c r="E386" s="36"/>
      <c r="F386" s="36"/>
      <c r="G386" s="37"/>
      <c r="H386" s="36"/>
      <c r="I386" s="35"/>
      <c r="J386" s="35"/>
    </row>
    <row r="387" customFormat="false" ht="15" hidden="false" customHeight="false" outlineLevel="0" collapsed="false">
      <c r="B387" s="34"/>
      <c r="C387" s="35"/>
      <c r="D387" s="36"/>
      <c r="E387" s="36"/>
      <c r="F387" s="36"/>
      <c r="G387" s="37"/>
      <c r="H387" s="36"/>
      <c r="I387" s="35"/>
      <c r="J387" s="35"/>
    </row>
    <row r="388" customFormat="false" ht="15" hidden="false" customHeight="false" outlineLevel="0" collapsed="false">
      <c r="B388" s="34"/>
      <c r="C388" s="35"/>
      <c r="D388" s="36"/>
      <c r="E388" s="36"/>
      <c r="F388" s="36"/>
      <c r="G388" s="37"/>
      <c r="H388" s="36"/>
      <c r="I388" s="35"/>
      <c r="J388" s="35"/>
    </row>
    <row r="389" customFormat="false" ht="15" hidden="false" customHeight="false" outlineLevel="0" collapsed="false">
      <c r="B389" s="34"/>
      <c r="C389" s="35"/>
      <c r="D389" s="36"/>
      <c r="E389" s="36"/>
      <c r="F389" s="36"/>
      <c r="G389" s="37"/>
      <c r="H389" s="36"/>
      <c r="I389" s="35"/>
      <c r="J389" s="35"/>
    </row>
    <row r="390" customFormat="false" ht="15" hidden="false" customHeight="false" outlineLevel="0" collapsed="false">
      <c r="B390" s="34"/>
      <c r="C390" s="35"/>
      <c r="D390" s="36"/>
      <c r="E390" s="36"/>
      <c r="F390" s="36"/>
      <c r="G390" s="37"/>
      <c r="H390" s="36"/>
      <c r="I390" s="35"/>
      <c r="J390" s="35"/>
    </row>
    <row r="391" customFormat="false" ht="15" hidden="false" customHeight="false" outlineLevel="0" collapsed="false">
      <c r="B391" s="34"/>
      <c r="C391" s="35"/>
      <c r="D391" s="36"/>
      <c r="E391" s="36"/>
      <c r="F391" s="36"/>
      <c r="G391" s="37"/>
      <c r="H391" s="36"/>
      <c r="I391" s="35"/>
      <c r="J391" s="35"/>
    </row>
    <row r="392" customFormat="false" ht="15" hidden="false" customHeight="false" outlineLevel="0" collapsed="false">
      <c r="B392" s="34"/>
      <c r="C392" s="35"/>
      <c r="D392" s="36"/>
      <c r="E392" s="36"/>
      <c r="F392" s="36"/>
      <c r="G392" s="37"/>
      <c r="H392" s="36"/>
      <c r="I392" s="35"/>
      <c r="J392" s="35"/>
    </row>
    <row r="393" customFormat="false" ht="15" hidden="false" customHeight="false" outlineLevel="0" collapsed="false">
      <c r="B393" s="34"/>
      <c r="C393" s="35"/>
      <c r="D393" s="36"/>
      <c r="E393" s="36"/>
      <c r="F393" s="36"/>
      <c r="G393" s="37"/>
      <c r="H393" s="36"/>
      <c r="I393" s="35"/>
      <c r="J393" s="35"/>
    </row>
    <row r="394" customFormat="false" ht="15" hidden="false" customHeight="false" outlineLevel="0" collapsed="false">
      <c r="B394" s="34"/>
      <c r="C394" s="35"/>
      <c r="D394" s="36"/>
      <c r="E394" s="36"/>
      <c r="F394" s="36"/>
      <c r="G394" s="37"/>
      <c r="H394" s="36"/>
      <c r="I394" s="35"/>
      <c r="J394" s="35"/>
    </row>
    <row r="395" customFormat="false" ht="15" hidden="false" customHeight="false" outlineLevel="0" collapsed="false">
      <c r="B395" s="34"/>
      <c r="C395" s="35"/>
      <c r="D395" s="36"/>
      <c r="E395" s="36"/>
      <c r="F395" s="36"/>
      <c r="G395" s="37"/>
      <c r="H395" s="36"/>
      <c r="I395" s="35"/>
      <c r="J395" s="35"/>
    </row>
    <row r="396" customFormat="false" ht="15" hidden="false" customHeight="false" outlineLevel="0" collapsed="false">
      <c r="B396" s="34"/>
      <c r="C396" s="35"/>
      <c r="D396" s="36"/>
      <c r="E396" s="36"/>
      <c r="F396" s="36"/>
      <c r="G396" s="37"/>
      <c r="H396" s="36"/>
      <c r="I396" s="35"/>
      <c r="J396" s="35"/>
    </row>
    <row r="397" customFormat="false" ht="15" hidden="false" customHeight="false" outlineLevel="0" collapsed="false">
      <c r="B397" s="34"/>
      <c r="C397" s="35"/>
      <c r="D397" s="36"/>
      <c r="E397" s="36"/>
      <c r="F397" s="36"/>
      <c r="G397" s="37"/>
      <c r="H397" s="36"/>
      <c r="I397" s="35"/>
      <c r="J397" s="35"/>
    </row>
    <row r="398" customFormat="false" ht="15" hidden="false" customHeight="false" outlineLevel="0" collapsed="false">
      <c r="B398" s="34"/>
      <c r="C398" s="35"/>
      <c r="D398" s="36"/>
      <c r="E398" s="36"/>
      <c r="F398" s="36"/>
      <c r="G398" s="37"/>
      <c r="H398" s="36"/>
      <c r="I398" s="35"/>
      <c r="J398" s="35"/>
    </row>
    <row r="399" customFormat="false" ht="15" hidden="false" customHeight="false" outlineLevel="0" collapsed="false">
      <c r="B399" s="34"/>
      <c r="C399" s="35"/>
      <c r="D399" s="36"/>
      <c r="E399" s="36"/>
      <c r="F399" s="36"/>
      <c r="G399" s="37"/>
      <c r="H399" s="36"/>
      <c r="I399" s="35"/>
      <c r="J399" s="35"/>
    </row>
    <row r="400" customFormat="false" ht="15" hidden="false" customHeight="false" outlineLevel="0" collapsed="false">
      <c r="B400" s="34"/>
      <c r="C400" s="35"/>
      <c r="D400" s="36"/>
      <c r="E400" s="36"/>
      <c r="F400" s="36"/>
      <c r="G400" s="37"/>
      <c r="H400" s="36"/>
      <c r="I400" s="35"/>
      <c r="J400" s="35"/>
    </row>
    <row r="401" customFormat="false" ht="15" hidden="false" customHeight="false" outlineLevel="0" collapsed="false">
      <c r="B401" s="34"/>
      <c r="C401" s="35"/>
      <c r="D401" s="36"/>
      <c r="E401" s="36"/>
      <c r="F401" s="36"/>
      <c r="G401" s="37"/>
      <c r="H401" s="36"/>
      <c r="I401" s="35"/>
      <c r="J401" s="35"/>
    </row>
    <row r="402" customFormat="false" ht="15" hidden="false" customHeight="false" outlineLevel="0" collapsed="false">
      <c r="B402" s="34"/>
      <c r="C402" s="35"/>
      <c r="D402" s="36"/>
      <c r="E402" s="36"/>
      <c r="F402" s="36"/>
      <c r="G402" s="37"/>
      <c r="H402" s="36"/>
      <c r="I402" s="35"/>
      <c r="J402" s="35"/>
    </row>
    <row r="403" customFormat="false" ht="15" hidden="false" customHeight="false" outlineLevel="0" collapsed="false">
      <c r="B403" s="34"/>
      <c r="C403" s="35"/>
      <c r="D403" s="36"/>
      <c r="E403" s="36"/>
      <c r="F403" s="36"/>
      <c r="G403" s="37"/>
      <c r="H403" s="36"/>
      <c r="I403" s="35"/>
      <c r="J403" s="35"/>
    </row>
    <row r="404" customFormat="false" ht="15" hidden="false" customHeight="false" outlineLevel="0" collapsed="false">
      <c r="B404" s="34"/>
      <c r="C404" s="35"/>
      <c r="D404" s="36"/>
      <c r="E404" s="36"/>
      <c r="F404" s="36"/>
      <c r="G404" s="37"/>
      <c r="H404" s="36"/>
      <c r="I404" s="35"/>
      <c r="J404" s="35"/>
    </row>
    <row r="405" customFormat="false" ht="15" hidden="false" customHeight="false" outlineLevel="0" collapsed="false">
      <c r="B405" s="34"/>
      <c r="C405" s="35"/>
      <c r="D405" s="36"/>
      <c r="E405" s="36"/>
      <c r="F405" s="36"/>
      <c r="G405" s="37"/>
      <c r="H405" s="36"/>
      <c r="I405" s="35"/>
      <c r="J405" s="35"/>
    </row>
    <row r="406" customFormat="false" ht="15" hidden="false" customHeight="false" outlineLevel="0" collapsed="false">
      <c r="B406" s="34"/>
      <c r="C406" s="35"/>
      <c r="D406" s="36"/>
      <c r="E406" s="36"/>
      <c r="F406" s="36"/>
      <c r="G406" s="37"/>
      <c r="H406" s="36"/>
      <c r="I406" s="35"/>
      <c r="J406" s="35"/>
    </row>
    <row r="407" customFormat="false" ht="15" hidden="false" customHeight="false" outlineLevel="0" collapsed="false">
      <c r="B407" s="34"/>
      <c r="C407" s="35"/>
      <c r="D407" s="36"/>
      <c r="E407" s="36"/>
      <c r="F407" s="36"/>
      <c r="G407" s="37"/>
      <c r="H407" s="36"/>
      <c r="I407" s="35"/>
      <c r="J407" s="35"/>
    </row>
    <row r="408" customFormat="false" ht="15" hidden="false" customHeight="false" outlineLevel="0" collapsed="false">
      <c r="B408" s="34"/>
      <c r="C408" s="35"/>
      <c r="D408" s="36"/>
      <c r="E408" s="36"/>
      <c r="F408" s="36"/>
      <c r="G408" s="37"/>
      <c r="H408" s="36"/>
      <c r="I408" s="35"/>
      <c r="J408" s="35"/>
    </row>
    <row r="409" customFormat="false" ht="15" hidden="false" customHeight="false" outlineLevel="0" collapsed="false">
      <c r="B409" s="34"/>
      <c r="C409" s="35"/>
      <c r="D409" s="36"/>
      <c r="E409" s="36"/>
      <c r="F409" s="36"/>
      <c r="G409" s="37"/>
      <c r="H409" s="36"/>
      <c r="I409" s="35"/>
      <c r="J409" s="35"/>
    </row>
    <row r="410" customFormat="false" ht="15" hidden="false" customHeight="false" outlineLevel="0" collapsed="false">
      <c r="B410" s="34"/>
      <c r="C410" s="35"/>
      <c r="D410" s="36"/>
      <c r="E410" s="36"/>
      <c r="F410" s="36"/>
      <c r="G410" s="37"/>
      <c r="H410" s="36"/>
      <c r="I410" s="35"/>
      <c r="J410" s="35"/>
    </row>
    <row r="411" customFormat="false" ht="15" hidden="false" customHeight="false" outlineLevel="0" collapsed="false">
      <c r="B411" s="34"/>
      <c r="C411" s="35"/>
      <c r="D411" s="36"/>
      <c r="E411" s="36"/>
      <c r="F411" s="36"/>
      <c r="G411" s="37"/>
      <c r="H411" s="36"/>
      <c r="I411" s="35"/>
      <c r="J411" s="35"/>
    </row>
    <row r="412" customFormat="false" ht="15" hidden="false" customHeight="false" outlineLevel="0" collapsed="false">
      <c r="B412" s="34"/>
      <c r="C412" s="35"/>
      <c r="D412" s="36"/>
      <c r="E412" s="36"/>
      <c r="F412" s="36"/>
      <c r="G412" s="37"/>
      <c r="H412" s="36"/>
      <c r="I412" s="35"/>
      <c r="J412" s="35"/>
    </row>
    <row r="413" customFormat="false" ht="15" hidden="false" customHeight="false" outlineLevel="0" collapsed="false">
      <c r="B413" s="34"/>
      <c r="C413" s="35"/>
      <c r="D413" s="36"/>
      <c r="E413" s="36"/>
      <c r="F413" s="36"/>
      <c r="G413" s="37"/>
      <c r="H413" s="36"/>
      <c r="I413" s="35"/>
      <c r="J413" s="35"/>
    </row>
    <row r="414" customFormat="false" ht="15" hidden="false" customHeight="false" outlineLevel="0" collapsed="false">
      <c r="B414" s="34"/>
      <c r="C414" s="35"/>
      <c r="D414" s="36"/>
      <c r="E414" s="36"/>
      <c r="F414" s="36"/>
      <c r="G414" s="37"/>
      <c r="H414" s="36"/>
      <c r="I414" s="35"/>
      <c r="J414" s="35"/>
    </row>
    <row r="415" customFormat="false" ht="15" hidden="false" customHeight="false" outlineLevel="0" collapsed="false">
      <c r="B415" s="34"/>
      <c r="C415" s="35"/>
      <c r="D415" s="36"/>
      <c r="E415" s="36"/>
      <c r="F415" s="36"/>
      <c r="G415" s="37"/>
      <c r="H415" s="36"/>
      <c r="I415" s="35"/>
      <c r="J415" s="35"/>
    </row>
    <row r="416" customFormat="false" ht="15" hidden="false" customHeight="false" outlineLevel="0" collapsed="false">
      <c r="B416" s="34"/>
      <c r="C416" s="35"/>
      <c r="D416" s="36"/>
      <c r="E416" s="36"/>
      <c r="F416" s="36"/>
      <c r="G416" s="37"/>
      <c r="H416" s="36"/>
      <c r="I416" s="35"/>
      <c r="J416" s="35"/>
    </row>
    <row r="417" customFormat="false" ht="15" hidden="false" customHeight="false" outlineLevel="0" collapsed="false">
      <c r="B417" s="34"/>
      <c r="C417" s="35"/>
      <c r="D417" s="36"/>
      <c r="E417" s="36"/>
      <c r="F417" s="36"/>
      <c r="G417" s="37"/>
      <c r="H417" s="36"/>
      <c r="I417" s="35"/>
      <c r="J417" s="35"/>
    </row>
    <row r="418" customFormat="false" ht="15" hidden="false" customHeight="false" outlineLevel="0" collapsed="false">
      <c r="B418" s="34"/>
      <c r="C418" s="35"/>
      <c r="D418" s="36"/>
      <c r="E418" s="36"/>
      <c r="F418" s="36"/>
      <c r="G418" s="37"/>
      <c r="H418" s="36"/>
      <c r="I418" s="35"/>
      <c r="J418" s="35"/>
    </row>
    <row r="419" customFormat="false" ht="15" hidden="false" customHeight="false" outlineLevel="0" collapsed="false">
      <c r="B419" s="34"/>
      <c r="C419" s="35"/>
      <c r="D419" s="36"/>
      <c r="E419" s="36"/>
      <c r="F419" s="36"/>
      <c r="G419" s="37"/>
      <c r="H419" s="36"/>
      <c r="I419" s="35"/>
      <c r="J419" s="35"/>
    </row>
    <row r="420" customFormat="false" ht="15" hidden="false" customHeight="false" outlineLevel="0" collapsed="false">
      <c r="B420" s="34"/>
      <c r="C420" s="35"/>
      <c r="D420" s="36"/>
      <c r="E420" s="36"/>
      <c r="F420" s="36"/>
      <c r="G420" s="37"/>
      <c r="H420" s="36"/>
      <c r="I420" s="35"/>
      <c r="J420" s="35"/>
    </row>
    <row r="421" customFormat="false" ht="15" hidden="false" customHeight="false" outlineLevel="0" collapsed="false">
      <c r="B421" s="34"/>
      <c r="C421" s="35"/>
      <c r="D421" s="36"/>
      <c r="E421" s="36"/>
      <c r="F421" s="36"/>
      <c r="G421" s="37"/>
      <c r="H421" s="36"/>
      <c r="I421" s="35"/>
      <c r="J421" s="35"/>
    </row>
    <row r="422" customFormat="false" ht="15" hidden="false" customHeight="false" outlineLevel="0" collapsed="false">
      <c r="B422" s="34"/>
      <c r="C422" s="35"/>
      <c r="D422" s="36"/>
      <c r="E422" s="36"/>
      <c r="F422" s="36"/>
      <c r="G422" s="37"/>
      <c r="H422" s="36"/>
      <c r="I422" s="35"/>
      <c r="J422" s="35"/>
    </row>
    <row r="423" customFormat="false" ht="15" hidden="false" customHeight="false" outlineLevel="0" collapsed="false">
      <c r="B423" s="34"/>
      <c r="C423" s="35"/>
      <c r="D423" s="36"/>
      <c r="E423" s="36"/>
      <c r="F423" s="36"/>
      <c r="G423" s="37"/>
      <c r="H423" s="36"/>
      <c r="I423" s="35"/>
      <c r="J423" s="35"/>
    </row>
    <row r="424" customFormat="false" ht="15" hidden="false" customHeight="false" outlineLevel="0" collapsed="false">
      <c r="B424" s="34"/>
      <c r="C424" s="35"/>
      <c r="D424" s="36"/>
      <c r="E424" s="36"/>
      <c r="F424" s="36"/>
      <c r="G424" s="37"/>
      <c r="H424" s="36"/>
      <c r="I424" s="35"/>
      <c r="J424" s="35"/>
    </row>
    <row r="425" customFormat="false" ht="15" hidden="false" customHeight="false" outlineLevel="0" collapsed="false">
      <c r="B425" s="34"/>
      <c r="C425" s="35"/>
      <c r="D425" s="36"/>
      <c r="E425" s="36"/>
      <c r="F425" s="36"/>
      <c r="G425" s="37"/>
      <c r="H425" s="36"/>
      <c r="I425" s="35"/>
      <c r="J425" s="35"/>
    </row>
    <row r="426" customFormat="false" ht="15" hidden="false" customHeight="false" outlineLevel="0" collapsed="false">
      <c r="B426" s="34"/>
      <c r="C426" s="35"/>
      <c r="D426" s="36"/>
      <c r="E426" s="36"/>
      <c r="F426" s="36"/>
      <c r="G426" s="37"/>
      <c r="H426" s="36"/>
      <c r="I426" s="35"/>
      <c r="J426" s="35"/>
    </row>
    <row r="427" customFormat="false" ht="15" hidden="false" customHeight="false" outlineLevel="0" collapsed="false">
      <c r="B427" s="34"/>
      <c r="C427" s="35"/>
      <c r="D427" s="36"/>
      <c r="E427" s="36"/>
      <c r="F427" s="36"/>
      <c r="G427" s="37"/>
      <c r="H427" s="36"/>
      <c r="I427" s="35"/>
      <c r="J427" s="35"/>
    </row>
    <row r="428" customFormat="false" ht="15" hidden="false" customHeight="false" outlineLevel="0" collapsed="false">
      <c r="B428" s="34"/>
      <c r="C428" s="35"/>
      <c r="D428" s="36"/>
      <c r="E428" s="36"/>
      <c r="F428" s="36"/>
      <c r="G428" s="37"/>
      <c r="H428" s="36"/>
      <c r="I428" s="35"/>
      <c r="J428" s="35"/>
    </row>
    <row r="429" customFormat="false" ht="15" hidden="false" customHeight="false" outlineLevel="0" collapsed="false">
      <c r="B429" s="34"/>
      <c r="C429" s="35"/>
      <c r="D429" s="36"/>
      <c r="E429" s="36"/>
      <c r="F429" s="36"/>
      <c r="G429" s="37"/>
      <c r="H429" s="36"/>
      <c r="I429" s="35"/>
      <c r="J429" s="35"/>
    </row>
    <row r="430" customFormat="false" ht="15" hidden="false" customHeight="false" outlineLevel="0" collapsed="false">
      <c r="B430" s="34"/>
      <c r="C430" s="35"/>
      <c r="D430" s="36"/>
      <c r="E430" s="36"/>
      <c r="F430" s="36"/>
      <c r="G430" s="37"/>
      <c r="H430" s="36"/>
      <c r="I430" s="35"/>
      <c r="J430" s="35"/>
    </row>
    <row r="431" customFormat="false" ht="15" hidden="false" customHeight="false" outlineLevel="0" collapsed="false">
      <c r="B431" s="34"/>
      <c r="C431" s="35"/>
      <c r="D431" s="36"/>
      <c r="E431" s="36"/>
      <c r="F431" s="36"/>
      <c r="G431" s="37"/>
      <c r="H431" s="36"/>
      <c r="I431" s="35"/>
      <c r="J431" s="35"/>
    </row>
    <row r="432" customFormat="false" ht="15" hidden="false" customHeight="false" outlineLevel="0" collapsed="false">
      <c r="B432" s="34"/>
      <c r="C432" s="35"/>
      <c r="D432" s="36"/>
      <c r="E432" s="36"/>
      <c r="F432" s="36"/>
      <c r="G432" s="37"/>
      <c r="H432" s="36"/>
      <c r="I432" s="35"/>
      <c r="J432" s="35"/>
    </row>
    <row r="433" customFormat="false" ht="15" hidden="false" customHeight="false" outlineLevel="0" collapsed="false">
      <c r="B433" s="34"/>
      <c r="C433" s="35"/>
      <c r="D433" s="36"/>
      <c r="E433" s="36"/>
      <c r="F433" s="36"/>
      <c r="G433" s="37"/>
      <c r="H433" s="36"/>
      <c r="I433" s="35"/>
      <c r="J433" s="35"/>
    </row>
    <row r="434" customFormat="false" ht="15" hidden="false" customHeight="false" outlineLevel="0" collapsed="false">
      <c r="B434" s="34"/>
      <c r="C434" s="35"/>
      <c r="D434" s="36"/>
      <c r="E434" s="36"/>
      <c r="F434" s="36"/>
      <c r="G434" s="37"/>
      <c r="H434" s="36"/>
      <c r="I434" s="35"/>
      <c r="J434" s="35"/>
    </row>
    <row r="435" customFormat="false" ht="15" hidden="false" customHeight="false" outlineLevel="0" collapsed="false">
      <c r="B435" s="34"/>
      <c r="C435" s="35"/>
      <c r="D435" s="36"/>
      <c r="E435" s="36"/>
      <c r="F435" s="36"/>
      <c r="G435" s="37"/>
      <c r="H435" s="36"/>
      <c r="I435" s="35"/>
      <c r="J435" s="35"/>
    </row>
    <row r="436" customFormat="false" ht="15" hidden="false" customHeight="false" outlineLevel="0" collapsed="false">
      <c r="B436" s="34"/>
      <c r="C436" s="35"/>
      <c r="D436" s="36"/>
      <c r="E436" s="36"/>
      <c r="F436" s="36"/>
      <c r="G436" s="37"/>
      <c r="H436" s="36"/>
      <c r="I436" s="35"/>
      <c r="J436" s="35"/>
    </row>
    <row r="437" customFormat="false" ht="15" hidden="false" customHeight="false" outlineLevel="0" collapsed="false">
      <c r="B437" s="34"/>
      <c r="C437" s="35"/>
      <c r="D437" s="36"/>
      <c r="E437" s="36"/>
      <c r="F437" s="36"/>
      <c r="G437" s="37"/>
      <c r="H437" s="36"/>
      <c r="I437" s="35"/>
      <c r="J437" s="35"/>
    </row>
    <row r="438" customFormat="false" ht="15" hidden="false" customHeight="false" outlineLevel="0" collapsed="false">
      <c r="B438" s="34"/>
      <c r="C438" s="35"/>
      <c r="D438" s="36"/>
      <c r="E438" s="36"/>
      <c r="F438" s="36"/>
      <c r="G438" s="37"/>
      <c r="H438" s="36"/>
      <c r="I438" s="35"/>
      <c r="J438" s="35"/>
    </row>
    <row r="439" customFormat="false" ht="15" hidden="false" customHeight="false" outlineLevel="0" collapsed="false">
      <c r="B439" s="34"/>
      <c r="C439" s="35"/>
      <c r="D439" s="36"/>
      <c r="E439" s="36"/>
      <c r="F439" s="36"/>
      <c r="G439" s="37"/>
      <c r="H439" s="36"/>
      <c r="I439" s="35"/>
      <c r="J439" s="35"/>
    </row>
    <row r="440" customFormat="false" ht="15" hidden="false" customHeight="false" outlineLevel="0" collapsed="false">
      <c r="B440" s="34"/>
      <c r="C440" s="35"/>
      <c r="D440" s="36"/>
      <c r="E440" s="36"/>
      <c r="F440" s="36"/>
      <c r="G440" s="37"/>
      <c r="H440" s="36"/>
      <c r="I440" s="35"/>
      <c r="J440" s="35"/>
    </row>
    <row r="441" customFormat="false" ht="15" hidden="false" customHeight="false" outlineLevel="0" collapsed="false">
      <c r="B441" s="34"/>
      <c r="C441" s="35"/>
      <c r="D441" s="36"/>
      <c r="E441" s="36"/>
      <c r="F441" s="36"/>
      <c r="G441" s="37"/>
      <c r="H441" s="36"/>
      <c r="I441" s="35"/>
      <c r="J441" s="35"/>
    </row>
    <row r="442" customFormat="false" ht="15" hidden="false" customHeight="false" outlineLevel="0" collapsed="false">
      <c r="B442" s="34"/>
      <c r="C442" s="35"/>
      <c r="D442" s="36"/>
      <c r="E442" s="36"/>
      <c r="F442" s="36"/>
      <c r="G442" s="37"/>
      <c r="H442" s="36"/>
      <c r="I442" s="35"/>
      <c r="J442" s="35"/>
    </row>
    <row r="443" customFormat="false" ht="15" hidden="false" customHeight="false" outlineLevel="0" collapsed="false">
      <c r="B443" s="34"/>
      <c r="C443" s="35"/>
      <c r="D443" s="36"/>
      <c r="E443" s="36"/>
      <c r="F443" s="36"/>
      <c r="G443" s="37"/>
      <c r="H443" s="36"/>
      <c r="I443" s="35"/>
      <c r="J443" s="35"/>
    </row>
    <row r="444" customFormat="false" ht="15" hidden="false" customHeight="false" outlineLevel="0" collapsed="false">
      <c r="B444" s="34"/>
      <c r="C444" s="35"/>
      <c r="D444" s="36"/>
      <c r="E444" s="36"/>
      <c r="F444" s="36"/>
      <c r="G444" s="37"/>
      <c r="H444" s="36"/>
      <c r="I444" s="35"/>
      <c r="J444" s="35"/>
    </row>
    <row r="445" customFormat="false" ht="15" hidden="false" customHeight="false" outlineLevel="0" collapsed="false">
      <c r="B445" s="34"/>
      <c r="C445" s="35"/>
      <c r="D445" s="36"/>
      <c r="E445" s="36"/>
      <c r="F445" s="36"/>
      <c r="G445" s="37"/>
      <c r="H445" s="36"/>
      <c r="I445" s="35"/>
      <c r="J445" s="35"/>
    </row>
    <row r="446" customFormat="false" ht="15" hidden="false" customHeight="false" outlineLevel="0" collapsed="false">
      <c r="B446" s="34"/>
      <c r="C446" s="35"/>
      <c r="D446" s="36"/>
      <c r="E446" s="36"/>
      <c r="F446" s="36"/>
      <c r="G446" s="37"/>
      <c r="H446" s="36"/>
      <c r="I446" s="35"/>
      <c r="J446" s="35"/>
    </row>
    <row r="447" customFormat="false" ht="15" hidden="false" customHeight="false" outlineLevel="0" collapsed="false">
      <c r="B447" s="34"/>
      <c r="C447" s="35"/>
      <c r="D447" s="36"/>
      <c r="E447" s="36"/>
      <c r="F447" s="36"/>
      <c r="G447" s="37"/>
      <c r="H447" s="36"/>
      <c r="I447" s="35"/>
      <c r="J447" s="35"/>
    </row>
    <row r="448" customFormat="false" ht="15" hidden="false" customHeight="false" outlineLevel="0" collapsed="false">
      <c r="B448" s="34"/>
      <c r="C448" s="35"/>
      <c r="D448" s="36"/>
      <c r="E448" s="36"/>
      <c r="F448" s="36"/>
      <c r="G448" s="37"/>
      <c r="H448" s="36"/>
      <c r="I448" s="35"/>
      <c r="J448" s="35"/>
    </row>
    <row r="449" customFormat="false" ht="15" hidden="false" customHeight="false" outlineLevel="0" collapsed="false">
      <c r="B449" s="34"/>
      <c r="C449" s="35"/>
      <c r="D449" s="36"/>
      <c r="E449" s="36"/>
      <c r="F449" s="36"/>
      <c r="G449" s="37"/>
      <c r="H449" s="36"/>
      <c r="I449" s="35"/>
      <c r="J449" s="35"/>
    </row>
    <row r="450" customFormat="false" ht="15" hidden="false" customHeight="false" outlineLevel="0" collapsed="false">
      <c r="B450" s="34"/>
      <c r="C450" s="35"/>
      <c r="D450" s="36"/>
      <c r="E450" s="36"/>
      <c r="F450" s="36"/>
      <c r="G450" s="37"/>
      <c r="H450" s="36"/>
      <c r="I450" s="35"/>
      <c r="J450" s="35"/>
    </row>
    <row r="451" customFormat="false" ht="15" hidden="false" customHeight="false" outlineLevel="0" collapsed="false">
      <c r="B451" s="34"/>
      <c r="C451" s="35"/>
      <c r="D451" s="36"/>
      <c r="E451" s="36"/>
      <c r="F451" s="36"/>
      <c r="G451" s="37"/>
      <c r="H451" s="36"/>
      <c r="I451" s="35"/>
      <c r="J451" s="35"/>
    </row>
    <row r="452" customFormat="false" ht="15" hidden="false" customHeight="false" outlineLevel="0" collapsed="false">
      <c r="B452" s="34"/>
      <c r="C452" s="35"/>
      <c r="D452" s="36"/>
      <c r="E452" s="36"/>
      <c r="F452" s="36"/>
      <c r="G452" s="37"/>
      <c r="H452" s="36"/>
      <c r="I452" s="35"/>
      <c r="J452" s="35"/>
    </row>
    <row r="453" customFormat="false" ht="15" hidden="false" customHeight="false" outlineLevel="0" collapsed="false">
      <c r="B453" s="34"/>
      <c r="C453" s="35"/>
      <c r="D453" s="36"/>
      <c r="E453" s="36"/>
      <c r="F453" s="36"/>
      <c r="G453" s="37"/>
      <c r="H453" s="36"/>
      <c r="I453" s="35"/>
      <c r="J453" s="35"/>
    </row>
    <row r="454" customFormat="false" ht="15" hidden="false" customHeight="false" outlineLevel="0" collapsed="false">
      <c r="B454" s="34"/>
      <c r="C454" s="35"/>
      <c r="D454" s="36"/>
      <c r="E454" s="36"/>
      <c r="F454" s="36"/>
      <c r="G454" s="37"/>
      <c r="H454" s="36"/>
      <c r="I454" s="35"/>
      <c r="J454" s="35"/>
    </row>
    <row r="455" customFormat="false" ht="15" hidden="false" customHeight="false" outlineLevel="0" collapsed="false">
      <c r="B455" s="34"/>
      <c r="C455" s="35"/>
      <c r="D455" s="36"/>
      <c r="E455" s="36"/>
      <c r="F455" s="36"/>
      <c r="G455" s="37"/>
      <c r="H455" s="36"/>
      <c r="I455" s="35"/>
      <c r="J455" s="35"/>
    </row>
    <row r="456" customFormat="false" ht="15" hidden="false" customHeight="false" outlineLevel="0" collapsed="false">
      <c r="B456" s="34"/>
      <c r="C456" s="35"/>
      <c r="D456" s="36"/>
      <c r="E456" s="36"/>
      <c r="F456" s="36"/>
      <c r="G456" s="37"/>
      <c r="H456" s="36"/>
      <c r="I456" s="35"/>
      <c r="J456" s="35"/>
    </row>
    <row r="457" customFormat="false" ht="15" hidden="false" customHeight="false" outlineLevel="0" collapsed="false">
      <c r="B457" s="34"/>
      <c r="C457" s="35"/>
      <c r="D457" s="36"/>
      <c r="E457" s="36"/>
      <c r="F457" s="36"/>
      <c r="G457" s="37"/>
      <c r="H457" s="36"/>
      <c r="I457" s="35"/>
      <c r="J457" s="35"/>
    </row>
    <row r="458" customFormat="false" ht="15" hidden="false" customHeight="false" outlineLevel="0" collapsed="false">
      <c r="B458" s="34"/>
      <c r="C458" s="35"/>
      <c r="D458" s="36"/>
      <c r="E458" s="36"/>
      <c r="F458" s="36"/>
      <c r="G458" s="37"/>
      <c r="H458" s="36"/>
      <c r="I458" s="35"/>
      <c r="J458" s="35"/>
    </row>
    <row r="459" customFormat="false" ht="15" hidden="false" customHeight="false" outlineLevel="0" collapsed="false">
      <c r="B459" s="34"/>
      <c r="C459" s="35"/>
      <c r="D459" s="36"/>
      <c r="E459" s="36"/>
      <c r="F459" s="36"/>
      <c r="G459" s="37"/>
      <c r="H459" s="36"/>
      <c r="I459" s="35"/>
      <c r="J459" s="35"/>
    </row>
    <row r="460" customFormat="false" ht="15" hidden="false" customHeight="false" outlineLevel="0" collapsed="false">
      <c r="B460" s="34"/>
      <c r="C460" s="35"/>
      <c r="D460" s="36"/>
      <c r="E460" s="36"/>
      <c r="F460" s="36"/>
      <c r="G460" s="37"/>
      <c r="H460" s="36"/>
      <c r="I460" s="35"/>
      <c r="J460" s="35"/>
    </row>
    <row r="461" customFormat="false" ht="15" hidden="false" customHeight="false" outlineLevel="0" collapsed="false">
      <c r="B461" s="34"/>
      <c r="C461" s="35"/>
      <c r="D461" s="36"/>
      <c r="E461" s="36"/>
      <c r="F461" s="36"/>
      <c r="G461" s="37"/>
      <c r="H461" s="36"/>
      <c r="I461" s="35"/>
      <c r="J461" s="35"/>
    </row>
    <row r="462" customFormat="false" ht="15" hidden="false" customHeight="false" outlineLevel="0" collapsed="false">
      <c r="B462" s="34"/>
      <c r="C462" s="35"/>
      <c r="D462" s="36"/>
      <c r="E462" s="36"/>
      <c r="F462" s="36"/>
      <c r="G462" s="37"/>
      <c r="H462" s="36"/>
      <c r="I462" s="35"/>
      <c r="J462" s="35"/>
    </row>
    <row r="463" customFormat="false" ht="15" hidden="false" customHeight="false" outlineLevel="0" collapsed="false">
      <c r="B463" s="34"/>
      <c r="C463" s="35"/>
      <c r="D463" s="36"/>
      <c r="E463" s="36"/>
      <c r="F463" s="36"/>
      <c r="G463" s="37"/>
      <c r="H463" s="36"/>
      <c r="I463" s="35"/>
      <c r="J463" s="35"/>
    </row>
    <row r="464" customFormat="false" ht="15" hidden="false" customHeight="false" outlineLevel="0" collapsed="false">
      <c r="B464" s="34"/>
      <c r="C464" s="35"/>
      <c r="D464" s="36"/>
      <c r="E464" s="36"/>
      <c r="F464" s="36"/>
      <c r="G464" s="37"/>
      <c r="H464" s="36"/>
      <c r="I464" s="35"/>
      <c r="J464" s="35"/>
    </row>
    <row r="465" customFormat="false" ht="15" hidden="false" customHeight="false" outlineLevel="0" collapsed="false">
      <c r="B465" s="34"/>
      <c r="C465" s="35"/>
      <c r="D465" s="36"/>
      <c r="E465" s="36"/>
      <c r="F465" s="36"/>
      <c r="G465" s="37"/>
      <c r="H465" s="36"/>
      <c r="I465" s="35"/>
      <c r="J465" s="35"/>
    </row>
    <row r="466" customFormat="false" ht="15" hidden="false" customHeight="false" outlineLevel="0" collapsed="false">
      <c r="B466" s="34"/>
      <c r="C466" s="35"/>
      <c r="D466" s="36"/>
      <c r="E466" s="36"/>
      <c r="F466" s="36"/>
      <c r="G466" s="37"/>
      <c r="H466" s="36"/>
      <c r="I466" s="35"/>
      <c r="J466" s="35"/>
    </row>
    <row r="467" customFormat="false" ht="15" hidden="false" customHeight="false" outlineLevel="0" collapsed="false">
      <c r="B467" s="34"/>
      <c r="C467" s="35"/>
      <c r="D467" s="36"/>
      <c r="E467" s="36"/>
      <c r="F467" s="36"/>
      <c r="G467" s="37"/>
      <c r="H467" s="36"/>
      <c r="I467" s="35"/>
      <c r="J467" s="35"/>
    </row>
    <row r="468" customFormat="false" ht="15" hidden="false" customHeight="false" outlineLevel="0" collapsed="false">
      <c r="B468" s="34"/>
      <c r="C468" s="35"/>
      <c r="D468" s="36"/>
      <c r="E468" s="36"/>
      <c r="F468" s="36"/>
      <c r="G468" s="37"/>
      <c r="H468" s="36"/>
      <c r="I468" s="35"/>
      <c r="J468" s="35"/>
    </row>
    <row r="469" customFormat="false" ht="15" hidden="false" customHeight="false" outlineLevel="0" collapsed="false">
      <c r="B469" s="34"/>
      <c r="C469" s="35"/>
      <c r="D469" s="36"/>
      <c r="E469" s="36"/>
      <c r="F469" s="36"/>
      <c r="G469" s="37"/>
      <c r="H469" s="36"/>
      <c r="I469" s="35"/>
      <c r="J469" s="35"/>
    </row>
    <row r="470" customFormat="false" ht="15" hidden="false" customHeight="false" outlineLevel="0" collapsed="false">
      <c r="B470" s="34"/>
      <c r="C470" s="35"/>
      <c r="D470" s="36"/>
      <c r="E470" s="36"/>
      <c r="F470" s="36"/>
      <c r="G470" s="37"/>
      <c r="H470" s="36"/>
      <c r="I470" s="35"/>
      <c r="J470" s="35"/>
    </row>
    <row r="471" customFormat="false" ht="15" hidden="false" customHeight="false" outlineLevel="0" collapsed="false">
      <c r="B471" s="34"/>
      <c r="C471" s="35"/>
      <c r="D471" s="36"/>
      <c r="E471" s="36"/>
      <c r="F471" s="36"/>
      <c r="G471" s="37"/>
      <c r="H471" s="36"/>
      <c r="I471" s="35"/>
      <c r="J471" s="35"/>
    </row>
    <row r="472" customFormat="false" ht="15" hidden="false" customHeight="false" outlineLevel="0" collapsed="false">
      <c r="B472" s="34"/>
      <c r="C472" s="35"/>
      <c r="D472" s="36"/>
      <c r="E472" s="36"/>
      <c r="F472" s="36"/>
      <c r="G472" s="37"/>
      <c r="H472" s="36"/>
      <c r="I472" s="35"/>
      <c r="J472" s="35"/>
    </row>
    <row r="473" customFormat="false" ht="15" hidden="false" customHeight="false" outlineLevel="0" collapsed="false">
      <c r="B473" s="34"/>
      <c r="C473" s="35"/>
      <c r="D473" s="36"/>
      <c r="E473" s="36"/>
      <c r="F473" s="36"/>
      <c r="G473" s="37"/>
      <c r="H473" s="36"/>
      <c r="I473" s="35"/>
      <c r="J473" s="35"/>
    </row>
    <row r="474" customFormat="false" ht="15" hidden="false" customHeight="false" outlineLevel="0" collapsed="false">
      <c r="B474" s="34"/>
      <c r="C474" s="35"/>
      <c r="D474" s="36"/>
      <c r="E474" s="36"/>
      <c r="F474" s="36"/>
      <c r="G474" s="37"/>
      <c r="H474" s="36"/>
      <c r="I474" s="35"/>
      <c r="J474" s="35"/>
    </row>
    <row r="475" customFormat="false" ht="15" hidden="false" customHeight="false" outlineLevel="0" collapsed="false">
      <c r="B475" s="34"/>
      <c r="C475" s="35"/>
      <c r="D475" s="36"/>
      <c r="E475" s="36"/>
      <c r="F475" s="36"/>
      <c r="G475" s="37"/>
      <c r="H475" s="36"/>
      <c r="I475" s="35"/>
      <c r="J475" s="35"/>
    </row>
    <row r="476" customFormat="false" ht="15" hidden="false" customHeight="false" outlineLevel="0" collapsed="false">
      <c r="B476" s="34"/>
      <c r="C476" s="35"/>
      <c r="D476" s="36"/>
      <c r="E476" s="36"/>
      <c r="F476" s="36"/>
      <c r="G476" s="37"/>
      <c r="H476" s="36"/>
      <c r="I476" s="35"/>
      <c r="J476" s="35"/>
    </row>
    <row r="477" customFormat="false" ht="15" hidden="false" customHeight="false" outlineLevel="0" collapsed="false">
      <c r="B477" s="34"/>
      <c r="C477" s="35"/>
      <c r="D477" s="36"/>
      <c r="E477" s="36"/>
      <c r="F477" s="36"/>
      <c r="G477" s="37"/>
      <c r="H477" s="36"/>
      <c r="I477" s="35"/>
      <c r="J477" s="35"/>
    </row>
    <row r="478" customFormat="false" ht="15" hidden="false" customHeight="false" outlineLevel="0" collapsed="false">
      <c r="B478" s="34"/>
      <c r="C478" s="35"/>
      <c r="D478" s="36"/>
      <c r="E478" s="36"/>
      <c r="F478" s="36"/>
      <c r="G478" s="37"/>
      <c r="H478" s="36"/>
      <c r="I478" s="35"/>
      <c r="J478" s="35"/>
    </row>
    <row r="479" customFormat="false" ht="15" hidden="false" customHeight="false" outlineLevel="0" collapsed="false">
      <c r="B479" s="34"/>
      <c r="C479" s="35"/>
      <c r="D479" s="36"/>
      <c r="E479" s="36"/>
      <c r="F479" s="36"/>
      <c r="G479" s="37"/>
      <c r="H479" s="36"/>
      <c r="I479" s="35"/>
      <c r="J479" s="35"/>
    </row>
    <row r="480" customFormat="false" ht="15" hidden="false" customHeight="false" outlineLevel="0" collapsed="false">
      <c r="B480" s="34"/>
      <c r="C480" s="35"/>
      <c r="D480" s="36"/>
      <c r="E480" s="36"/>
      <c r="F480" s="36"/>
      <c r="G480" s="37"/>
      <c r="H480" s="36"/>
      <c r="I480" s="35"/>
      <c r="J480" s="35"/>
    </row>
    <row r="481" customFormat="false" ht="15" hidden="false" customHeight="false" outlineLevel="0" collapsed="false">
      <c r="B481" s="34"/>
      <c r="C481" s="35"/>
      <c r="D481" s="36"/>
      <c r="E481" s="36"/>
      <c r="F481" s="36"/>
      <c r="G481" s="37"/>
      <c r="H481" s="36"/>
      <c r="I481" s="35"/>
      <c r="J481" s="35"/>
    </row>
    <row r="482" customFormat="false" ht="15" hidden="false" customHeight="false" outlineLevel="0" collapsed="false">
      <c r="B482" s="34"/>
      <c r="C482" s="35"/>
      <c r="D482" s="36"/>
      <c r="E482" s="36"/>
      <c r="F482" s="36"/>
      <c r="G482" s="37"/>
      <c r="H482" s="36"/>
      <c r="I482" s="35"/>
      <c r="J482" s="35"/>
    </row>
    <row r="483" customFormat="false" ht="15" hidden="false" customHeight="false" outlineLevel="0" collapsed="false">
      <c r="B483" s="34"/>
      <c r="C483" s="35"/>
      <c r="D483" s="36"/>
      <c r="E483" s="36"/>
      <c r="F483" s="36"/>
      <c r="G483" s="37"/>
      <c r="H483" s="36"/>
      <c r="I483" s="35"/>
      <c r="J483" s="35"/>
    </row>
    <row r="484" customFormat="false" ht="15" hidden="false" customHeight="false" outlineLevel="0" collapsed="false">
      <c r="B484" s="34"/>
      <c r="C484" s="35"/>
      <c r="D484" s="36"/>
      <c r="E484" s="36"/>
      <c r="F484" s="36"/>
      <c r="G484" s="37"/>
      <c r="H484" s="36"/>
      <c r="I484" s="35"/>
      <c r="J484" s="35"/>
    </row>
    <row r="485" customFormat="false" ht="15" hidden="false" customHeight="false" outlineLevel="0" collapsed="false">
      <c r="B485" s="34"/>
      <c r="C485" s="35"/>
      <c r="D485" s="36"/>
      <c r="E485" s="36"/>
      <c r="F485" s="36"/>
      <c r="G485" s="37"/>
      <c r="H485" s="36"/>
      <c r="I485" s="35"/>
      <c r="J485" s="35"/>
    </row>
    <row r="486" customFormat="false" ht="15" hidden="false" customHeight="false" outlineLevel="0" collapsed="false">
      <c r="B486" s="34"/>
      <c r="C486" s="35"/>
      <c r="D486" s="36"/>
      <c r="E486" s="36"/>
      <c r="F486" s="36"/>
      <c r="G486" s="37"/>
      <c r="H486" s="36"/>
      <c r="I486" s="35"/>
      <c r="J486" s="35"/>
    </row>
    <row r="487" customFormat="false" ht="15" hidden="false" customHeight="false" outlineLevel="0" collapsed="false">
      <c r="B487" s="34"/>
      <c r="C487" s="35"/>
      <c r="D487" s="36"/>
      <c r="E487" s="36"/>
      <c r="F487" s="36"/>
      <c r="G487" s="37"/>
      <c r="H487" s="36"/>
      <c r="I487" s="35"/>
      <c r="J487" s="35"/>
    </row>
    <row r="488" customFormat="false" ht="15" hidden="false" customHeight="false" outlineLevel="0" collapsed="false">
      <c r="B488" s="34"/>
      <c r="C488" s="35"/>
      <c r="D488" s="36"/>
      <c r="E488" s="36"/>
      <c r="F488" s="36"/>
      <c r="G488" s="37"/>
      <c r="H488" s="36"/>
      <c r="I488" s="35"/>
      <c r="J488" s="35"/>
    </row>
    <row r="489" customFormat="false" ht="15" hidden="false" customHeight="false" outlineLevel="0" collapsed="false">
      <c r="B489" s="34"/>
      <c r="C489" s="35"/>
      <c r="D489" s="36"/>
      <c r="E489" s="36"/>
      <c r="F489" s="36"/>
      <c r="G489" s="37"/>
      <c r="H489" s="36"/>
      <c r="I489" s="35"/>
      <c r="J489" s="35"/>
    </row>
    <row r="490" customFormat="false" ht="15" hidden="false" customHeight="false" outlineLevel="0" collapsed="false">
      <c r="B490" s="34"/>
      <c r="C490" s="35"/>
      <c r="D490" s="36"/>
      <c r="E490" s="36"/>
      <c r="F490" s="36"/>
      <c r="G490" s="37"/>
      <c r="H490" s="36"/>
      <c r="I490" s="35"/>
      <c r="J490" s="35"/>
    </row>
    <row r="491" customFormat="false" ht="15" hidden="false" customHeight="false" outlineLevel="0" collapsed="false">
      <c r="B491" s="34"/>
      <c r="C491" s="35"/>
      <c r="D491" s="36"/>
      <c r="E491" s="36"/>
      <c r="F491" s="36"/>
      <c r="G491" s="37"/>
      <c r="H491" s="36"/>
      <c r="I491" s="35"/>
      <c r="J491" s="35"/>
    </row>
    <row r="492" customFormat="false" ht="15" hidden="false" customHeight="false" outlineLevel="0" collapsed="false">
      <c r="B492" s="34"/>
      <c r="C492" s="35"/>
      <c r="D492" s="36"/>
      <c r="E492" s="36"/>
      <c r="F492" s="36"/>
      <c r="G492" s="37"/>
      <c r="H492" s="36"/>
      <c r="I492" s="35"/>
      <c r="J492" s="35"/>
    </row>
    <row r="493" customFormat="false" ht="15" hidden="false" customHeight="false" outlineLevel="0" collapsed="false">
      <c r="B493" s="34"/>
      <c r="C493" s="35"/>
      <c r="D493" s="36"/>
      <c r="E493" s="36"/>
      <c r="F493" s="36"/>
      <c r="G493" s="37"/>
      <c r="H493" s="36"/>
      <c r="I493" s="35"/>
      <c r="J493" s="35"/>
    </row>
    <row r="494" customFormat="false" ht="15" hidden="false" customHeight="false" outlineLevel="0" collapsed="false">
      <c r="B494" s="34"/>
      <c r="C494" s="35"/>
      <c r="D494" s="36"/>
      <c r="E494" s="36"/>
      <c r="F494" s="36"/>
      <c r="G494" s="37"/>
      <c r="H494" s="36"/>
      <c r="I494" s="35"/>
      <c r="J494" s="35"/>
    </row>
    <row r="495" customFormat="false" ht="15" hidden="false" customHeight="false" outlineLevel="0" collapsed="false">
      <c r="B495" s="34"/>
      <c r="C495" s="35"/>
      <c r="D495" s="36"/>
      <c r="E495" s="36"/>
      <c r="F495" s="36"/>
      <c r="G495" s="37"/>
      <c r="H495" s="36"/>
      <c r="I495" s="35"/>
      <c r="J495" s="35"/>
    </row>
    <row r="496" customFormat="false" ht="15" hidden="false" customHeight="false" outlineLevel="0" collapsed="false">
      <c r="B496" s="34"/>
      <c r="C496" s="35"/>
      <c r="D496" s="36"/>
      <c r="E496" s="36"/>
      <c r="F496" s="36"/>
      <c r="G496" s="37"/>
      <c r="H496" s="36"/>
      <c r="I496" s="35"/>
      <c r="J496" s="35"/>
    </row>
    <row r="497" customFormat="false" ht="15" hidden="false" customHeight="false" outlineLevel="0" collapsed="false">
      <c r="B497" s="34"/>
      <c r="C497" s="35"/>
      <c r="D497" s="36"/>
      <c r="E497" s="36"/>
      <c r="F497" s="36"/>
      <c r="G497" s="37"/>
      <c r="H497" s="36"/>
      <c r="I497" s="35"/>
      <c r="J497" s="35"/>
    </row>
    <row r="498" customFormat="false" ht="15" hidden="false" customHeight="false" outlineLevel="0" collapsed="false">
      <c r="B498" s="34"/>
      <c r="C498" s="35"/>
      <c r="D498" s="36"/>
      <c r="E498" s="36"/>
      <c r="F498" s="36"/>
      <c r="G498" s="37"/>
      <c r="H498" s="36"/>
      <c r="I498" s="35"/>
      <c r="J498" s="35"/>
    </row>
    <row r="499" customFormat="false" ht="15" hidden="false" customHeight="false" outlineLevel="0" collapsed="false">
      <c r="B499" s="34"/>
      <c r="C499" s="35"/>
      <c r="D499" s="36"/>
      <c r="E499" s="36"/>
      <c r="F499" s="36"/>
      <c r="G499" s="37"/>
      <c r="H499" s="36"/>
      <c r="I499" s="35"/>
      <c r="J499" s="35"/>
    </row>
    <row r="500" customFormat="false" ht="15" hidden="false" customHeight="false" outlineLevel="0" collapsed="false">
      <c r="B500" s="34"/>
      <c r="C500" s="35"/>
      <c r="D500" s="36"/>
      <c r="E500" s="36"/>
      <c r="F500" s="36"/>
      <c r="G500" s="37"/>
      <c r="H500" s="36"/>
      <c r="I500" s="35"/>
      <c r="J500" s="35"/>
    </row>
    <row r="501" customFormat="false" ht="15" hidden="false" customHeight="false" outlineLevel="0" collapsed="false">
      <c r="B501" s="34"/>
      <c r="C501" s="35"/>
      <c r="D501" s="36"/>
      <c r="E501" s="36"/>
      <c r="F501" s="36"/>
      <c r="G501" s="37"/>
      <c r="H501" s="36"/>
      <c r="I501" s="35"/>
      <c r="J501" s="35"/>
    </row>
    <row r="502" customFormat="false" ht="15" hidden="false" customHeight="false" outlineLevel="0" collapsed="false">
      <c r="B502" s="34"/>
      <c r="C502" s="35"/>
      <c r="D502" s="36"/>
      <c r="E502" s="36"/>
      <c r="F502" s="36"/>
      <c r="G502" s="37"/>
      <c r="H502" s="36"/>
      <c r="I502" s="35"/>
      <c r="J502" s="35"/>
    </row>
    <row r="503" customFormat="false" ht="15" hidden="false" customHeight="false" outlineLevel="0" collapsed="false">
      <c r="B503" s="34"/>
      <c r="C503" s="35"/>
      <c r="D503" s="36"/>
      <c r="E503" s="36"/>
      <c r="F503" s="36"/>
      <c r="G503" s="37"/>
      <c r="H503" s="36"/>
      <c r="I503" s="35"/>
      <c r="J503" s="35"/>
    </row>
    <row r="504" customFormat="false" ht="15" hidden="false" customHeight="false" outlineLevel="0" collapsed="false">
      <c r="B504" s="34"/>
      <c r="C504" s="35"/>
      <c r="D504" s="36"/>
      <c r="E504" s="36"/>
      <c r="F504" s="36"/>
      <c r="G504" s="37"/>
      <c r="H504" s="36"/>
      <c r="I504" s="35"/>
      <c r="J504" s="35"/>
    </row>
    <row r="505" customFormat="false" ht="15" hidden="false" customHeight="false" outlineLevel="0" collapsed="false">
      <c r="B505" s="34"/>
      <c r="C505" s="35"/>
      <c r="D505" s="36"/>
      <c r="E505" s="36"/>
      <c r="F505" s="36"/>
      <c r="G505" s="37"/>
      <c r="H505" s="36"/>
      <c r="I505" s="35"/>
      <c r="J505" s="35"/>
    </row>
    <row r="506" customFormat="false" ht="15" hidden="false" customHeight="false" outlineLevel="0" collapsed="false">
      <c r="B506" s="34"/>
      <c r="C506" s="35"/>
      <c r="D506" s="36"/>
      <c r="E506" s="36"/>
      <c r="F506" s="36"/>
      <c r="G506" s="37"/>
      <c r="H506" s="36"/>
      <c r="I506" s="35"/>
      <c r="J506" s="35"/>
    </row>
  </sheetData>
  <mergeCells count="3">
    <mergeCell ref="B1:J1"/>
    <mergeCell ref="B2:J2"/>
    <mergeCell ref="B4:J4"/>
  </mergeCells>
  <dataValidations count="5">
    <dataValidation allowBlank="true" errorStyle="stop" operator="between" showDropDown="false" showErrorMessage="false" showInputMessage="false" sqref="C7:C506" type="list">
      <formula1>"Days,Earlies,Lates,Nights,Weekend"</formula1>
      <formula2>0</formula2>
    </dataValidation>
    <dataValidation allowBlank="true" errorStyle="stop" operator="between" showDropDown="false" showErrorMessage="false" showInputMessage="false" sqref="D7:D506" type="list">
      <formula1>Setup!$B$15:$B$29</formula1>
      <formula2>0</formula2>
    </dataValidation>
    <dataValidation allowBlank="true" errorStyle="stop" operator="between" showDropDown="false" showErrorMessage="false" showInputMessage="false" sqref="E7:E506" type="list">
      <formula1>Setup!$D$15:$D$24</formula1>
      <formula2>0</formula2>
    </dataValidation>
    <dataValidation allowBlank="true" errorStyle="stop" operator="between" showDropDown="false" showErrorMessage="false" showInputMessage="false" sqref="I7:I506" type="list">
      <formula1>"Yes,No,In progress"</formula1>
      <formula2>0</formula2>
    </dataValidation>
    <dataValidation allowBlank="true" error="Type the minutes as a whole number, for example 45." errorStyle="stop" errorTitle="Minutes down" operator="between" showDropDown="false" showErrorMessage="false" showInputMessage="false" sqref="G7:G506" type="whole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"/>
    <col collapsed="false" customWidth="true" hidden="false" outlineLevel="0" max="6" min="6" style="0" width="50"/>
  </cols>
  <sheetData>
    <row r="1" customFormat="false" ht="33.75" hidden="false" customHeight="true" outlineLevel="0" collapsed="false">
      <c r="A1" s="1"/>
      <c r="B1" s="2" t="s">
        <v>118</v>
      </c>
      <c r="C1" s="2"/>
      <c r="D1" s="2"/>
      <c r="E1" s="2"/>
      <c r="F1" s="2"/>
      <c r="G1" s="1"/>
    </row>
    <row r="2" customFormat="false" ht="19.5" hidden="false" customHeight="true" outlineLevel="0" collapsed="false">
      <c r="A2" s="1"/>
      <c r="B2" s="3" t="s">
        <v>119</v>
      </c>
      <c r="C2" s="3"/>
      <c r="D2" s="3"/>
      <c r="E2" s="3"/>
      <c r="F2" s="3"/>
      <c r="G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</row>
    <row r="5" customFormat="false" ht="19.5" hidden="false" customHeight="true" outlineLevel="0" collapsed="false">
      <c r="B5" s="19" t="s">
        <v>120</v>
      </c>
      <c r="C5" s="20"/>
      <c r="D5" s="20"/>
    </row>
    <row r="6" customFormat="false" ht="21.75" hidden="false" customHeight="true" outlineLevel="0" collapsed="false">
      <c r="B6" s="38" t="s">
        <v>121</v>
      </c>
      <c r="C6" s="39" t="s">
        <v>122</v>
      </c>
    </row>
    <row r="7" customFormat="false" ht="21.75" hidden="false" customHeight="true" outlineLevel="0" collapsed="false">
      <c r="B7" s="38" t="s">
        <v>123</v>
      </c>
      <c r="C7" s="40" t="n">
        <v>46113</v>
      </c>
      <c r="D7" s="41" t="s">
        <v>124</v>
      </c>
      <c r="E7" s="41"/>
      <c r="F7" s="41"/>
    </row>
    <row r="8" customFormat="false" ht="21.75" hidden="false" customHeight="true" outlineLevel="0" collapsed="false">
      <c r="B8" s="38" t="s">
        <v>125</v>
      </c>
      <c r="C8" s="40" t="n">
        <v>46295</v>
      </c>
      <c r="D8" s="41" t="s">
        <v>126</v>
      </c>
      <c r="E8" s="41"/>
      <c r="F8" s="41"/>
    </row>
    <row r="9" customFormat="false" ht="21.75" hidden="false" customHeight="true" outlineLevel="0" collapsed="false">
      <c r="B9" s="38" t="s">
        <v>127</v>
      </c>
      <c r="C9" s="42" t="n">
        <v>21</v>
      </c>
      <c r="D9" s="41" t="s">
        <v>128</v>
      </c>
      <c r="E9" s="41"/>
      <c r="F9" s="41"/>
    </row>
    <row r="10" customFormat="false" ht="21.75" hidden="false" customHeight="true" outlineLevel="0" collapsed="false">
      <c r="B10" s="38" t="s">
        <v>129</v>
      </c>
      <c r="C10" s="43" t="n">
        <v>5</v>
      </c>
    </row>
    <row r="11" customFormat="false" ht="21.75" hidden="false" customHeight="true" outlineLevel="0" collapsed="false">
      <c r="B11" s="38" t="s">
        <v>130</v>
      </c>
      <c r="C11" s="44" t="n">
        <v>250</v>
      </c>
      <c r="D11" s="41" t="s">
        <v>131</v>
      </c>
      <c r="E11" s="41"/>
      <c r="F11" s="41"/>
    </row>
    <row r="12" customFormat="false" ht="15" hidden="false" customHeight="false" outlineLevel="0" collapsed="false">
      <c r="B12" s="45" t="s">
        <v>132</v>
      </c>
      <c r="C12" s="46" t="n">
        <f aca="false">IF(OR(C7="",C8=""),0,(C8-C7+1)/7*N(C10)*N(C9))</f>
        <v>2745</v>
      </c>
    </row>
    <row r="14" customFormat="false" ht="19.5" hidden="false" customHeight="true" outlineLevel="0" collapsed="false">
      <c r="B14" s="19" t="s">
        <v>133</v>
      </c>
      <c r="D14" s="19" t="s">
        <v>134</v>
      </c>
    </row>
    <row r="15" customFormat="false" ht="15" hidden="false" customHeight="true" outlineLevel="0" collapsed="false">
      <c r="B15" s="39" t="s">
        <v>94</v>
      </c>
      <c r="D15" s="39" t="s">
        <v>55</v>
      </c>
      <c r="F15" s="47" t="s">
        <v>135</v>
      </c>
    </row>
    <row r="16" customFormat="false" ht="15" hidden="false" customHeight="false" outlineLevel="0" collapsed="false">
      <c r="B16" s="39" t="s">
        <v>54</v>
      </c>
      <c r="D16" s="39" t="s">
        <v>50</v>
      </c>
      <c r="F16" s="47"/>
    </row>
    <row r="17" customFormat="false" ht="15" hidden="false" customHeight="false" outlineLevel="0" collapsed="false">
      <c r="B17" s="39" t="s">
        <v>69</v>
      </c>
      <c r="D17" s="39" t="s">
        <v>70</v>
      </c>
      <c r="F17" s="47"/>
    </row>
    <row r="18" customFormat="false" ht="15" hidden="false" customHeight="false" outlineLevel="0" collapsed="false">
      <c r="B18" s="39" t="s">
        <v>72</v>
      </c>
      <c r="D18" s="39" t="s">
        <v>66</v>
      </c>
      <c r="F18" s="47"/>
    </row>
    <row r="19" customFormat="false" ht="15" hidden="false" customHeight="false" outlineLevel="0" collapsed="false">
      <c r="B19" s="39" t="s">
        <v>79</v>
      </c>
      <c r="D19" s="39" t="s">
        <v>75</v>
      </c>
    </row>
    <row r="20" customFormat="false" ht="15" hidden="false" customHeight="false" outlineLevel="0" collapsed="false">
      <c r="B20" s="39" t="s">
        <v>65</v>
      </c>
      <c r="D20" s="39" t="s">
        <v>73</v>
      </c>
    </row>
    <row r="21" customFormat="false" ht="15" hidden="false" customHeight="false" outlineLevel="0" collapsed="false">
      <c r="B21" s="39" t="s">
        <v>92</v>
      </c>
      <c r="D21" s="39" t="s">
        <v>60</v>
      </c>
    </row>
    <row r="22" customFormat="false" ht="15" hidden="false" customHeight="false" outlineLevel="0" collapsed="false">
      <c r="B22" s="39" t="s">
        <v>49</v>
      </c>
      <c r="D22" s="39"/>
    </row>
    <row r="23" customFormat="false" ht="15" hidden="false" customHeight="false" outlineLevel="0" collapsed="false">
      <c r="B23" s="39"/>
      <c r="D23" s="39"/>
    </row>
    <row r="24" customFormat="false" ht="15" hidden="false" customHeight="false" outlineLevel="0" collapsed="false">
      <c r="B24" s="39"/>
      <c r="D24" s="39"/>
    </row>
    <row r="25" customFormat="false" ht="15" hidden="false" customHeight="false" outlineLevel="0" collapsed="false">
      <c r="B25" s="39"/>
    </row>
    <row r="26" customFormat="false" ht="15" hidden="false" customHeight="false" outlineLevel="0" collapsed="false">
      <c r="B26" s="39"/>
    </row>
    <row r="27" customFormat="false" ht="15" hidden="false" customHeight="false" outlineLevel="0" collapsed="false">
      <c r="B27" s="39"/>
    </row>
    <row r="28" customFormat="false" ht="15" hidden="false" customHeight="false" outlineLevel="0" collapsed="false">
      <c r="B28" s="39"/>
    </row>
    <row r="29" customFormat="false" ht="15" hidden="false" customHeight="false" outlineLevel="0" collapsed="false">
      <c r="B29" s="39"/>
    </row>
  </sheetData>
  <mergeCells count="7">
    <mergeCell ref="B1:F1"/>
    <mergeCell ref="B2:F2"/>
    <mergeCell ref="D7:F7"/>
    <mergeCell ref="D8:F8"/>
    <mergeCell ref="D9:F9"/>
    <mergeCell ref="D11:F11"/>
    <mergeCell ref="F15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12" min="9" style="0" width="12"/>
  </cols>
  <sheetData>
    <row r="1" customFormat="false" ht="33.75" hidden="false" customHeight="true" outlineLevel="0" collapsed="false">
      <c r="A1" s="1"/>
      <c r="B1" s="2" t="s">
        <v>136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</row>
    <row r="2" customFormat="false" ht="19.5" hidden="false" customHeight="true" outlineLevel="0" collapsed="false">
      <c r="A2" s="1"/>
      <c r="B2" s="3" t="s">
        <v>137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customFormat="false" ht="15" hidden="false" customHeight="false" outlineLevel="0" collapsed="false">
      <c r="B5" s="7" t="s">
        <v>138</v>
      </c>
      <c r="H5" s="7" t="s">
        <v>139</v>
      </c>
    </row>
    <row r="6" customFormat="false" ht="15" hidden="false" customHeight="false" outlineLevel="0" collapsed="false">
      <c r="B6" s="7" t="s">
        <v>140</v>
      </c>
      <c r="C6" s="7" t="s">
        <v>141</v>
      </c>
      <c r="D6" s="7" t="s">
        <v>142</v>
      </c>
      <c r="E6" s="7" t="s">
        <v>143</v>
      </c>
      <c r="G6" s="7" t="s">
        <v>144</v>
      </c>
      <c r="H6" s="7" t="s">
        <v>140</v>
      </c>
      <c r="I6" s="7" t="s">
        <v>142</v>
      </c>
      <c r="J6" s="7" t="s">
        <v>145</v>
      </c>
      <c r="K6" s="7" t="s">
        <v>146</v>
      </c>
      <c r="L6" s="7" t="s">
        <v>141</v>
      </c>
    </row>
    <row r="7" customFormat="false" ht="15" hidden="false" customHeight="false" outlineLevel="0" collapsed="false">
      <c r="B7" s="48" t="str">
        <f aca="false">IF(Setup!$B$15="","",Setup!$B$15)</f>
        <v>Depalletiser</v>
      </c>
      <c r="C7" s="48" t="n">
        <f aca="false">IF(B7="",0,COUNTIFS('Breakdown Log'!$D$7:$D$506,B7,'Breakdown Log'!$B$7:$B$506,"&gt;="&amp;Setup!$C$7,'Breakdown Log'!$B$7:$B$506,"&lt;="&amp;Setup!$C$8))</f>
        <v>6</v>
      </c>
      <c r="D7" s="48" t="n">
        <f aca="false">IF(B7="",0,SUMIFS('Breakdown Log'!$G$7:$G$506,'Breakdown Log'!$D$7:$D$506,B7,'Breakdown Log'!$B$7:$B$506,"&gt;="&amp;Setup!$C$7,'Breakdown Log'!$B$7:$B$506,"&lt;="&amp;Setup!$C$8))</f>
        <v>168</v>
      </c>
      <c r="E7" s="48" t="n">
        <f aca="false">IF(B7="",-1,D7+(100-ROW())/1000)</f>
        <v>168.093</v>
      </c>
      <c r="G7" s="48" t="n">
        <v>1</v>
      </c>
      <c r="H7" s="48" t="str">
        <f aca="false">IF(LARGE($E$7:$E$21,G7)&lt;0,"",INDEX($B$7:$B$21,MATCH(LARGE($E$7:$E$21,G7),$E$7:$E$21,0)))</f>
        <v>Labeller</v>
      </c>
      <c r="I7" s="48" t="n">
        <f aca="false">IF(H7="",0,INDEX($D$7:$D$21,MATCH(LARGE($E$7:$E$21,G7),$E$7:$E$21,0)))</f>
        <v>1487</v>
      </c>
      <c r="J7" s="49" t="n">
        <f aca="false">I7/60</f>
        <v>24.7833333333333</v>
      </c>
      <c r="K7" s="50" t="n">
        <f aca="false">IF(SUM($I$7:$I$21)=0,0,SUM($I$7:I7)/SUM($I$7:$I$21))</f>
        <v>0.333482843686925</v>
      </c>
      <c r="L7" s="48" t="n">
        <f aca="false">IF(H7="",0,INDEX($C$7:$C$21,MATCH(LARGE($E$7:$E$21,G7),$E$7:$E$21,0)))</f>
        <v>31</v>
      </c>
    </row>
    <row r="8" customFormat="false" ht="15" hidden="false" customHeight="false" outlineLevel="0" collapsed="false">
      <c r="B8" s="48" t="str">
        <f aca="false">IF(Setup!$B$16="","",Setup!$B$16)</f>
        <v>Filler</v>
      </c>
      <c r="C8" s="48" t="n">
        <f aca="false">IF(B8="",0,COUNTIFS('Breakdown Log'!$D$7:$D$506,B8,'Breakdown Log'!$B$7:$B$506,"&gt;="&amp;Setup!$C$7,'Breakdown Log'!$B$7:$B$506,"&lt;="&amp;Setup!$C$8))</f>
        <v>21</v>
      </c>
      <c r="D8" s="48" t="n">
        <f aca="false">IF(B8="",0,SUMIFS('Breakdown Log'!$G$7:$G$506,'Breakdown Log'!$D$7:$D$506,B8,'Breakdown Log'!$B$7:$B$506,"&gt;="&amp;Setup!$C$7,'Breakdown Log'!$B$7:$B$506,"&lt;="&amp;Setup!$C$8))</f>
        <v>538</v>
      </c>
      <c r="E8" s="48" t="n">
        <f aca="false">IF(B8="",-1,D8+(100-ROW())/1000)</f>
        <v>538.092</v>
      </c>
      <c r="G8" s="48" t="n">
        <v>2</v>
      </c>
      <c r="H8" s="48" t="str">
        <f aca="false">IF(LARGE($E$7:$E$21,G8)&lt;0,"",INDEX($B$7:$B$21,MATCH(LARGE($E$7:$E$21,G8),$E$7:$E$21,0)))</f>
        <v>Filler</v>
      </c>
      <c r="I8" s="48" t="n">
        <f aca="false">IF(H8="",0,INDEX($D$7:$D$21,MATCH(LARGE($E$7:$E$21,G8),$E$7:$E$21,0)))</f>
        <v>538</v>
      </c>
      <c r="J8" s="49" t="n">
        <f aca="false">I8/60</f>
        <v>8.96666666666667</v>
      </c>
      <c r="K8" s="50" t="n">
        <f aca="false">IF(SUM($I$7:$I$21)=0,0,SUM($I$7:I8)/SUM($I$7:$I$21))</f>
        <v>0.454137699035658</v>
      </c>
      <c r="L8" s="48" t="n">
        <f aca="false">IF(H8="",0,INDEX($C$7:$C$21,MATCH(LARGE($E$7:$E$21,G8),$E$7:$E$21,0)))</f>
        <v>21</v>
      </c>
    </row>
    <row r="9" customFormat="false" ht="15" hidden="false" customHeight="false" outlineLevel="0" collapsed="false">
      <c r="B9" s="48" t="str">
        <f aca="false">IF(Setup!$B$17="","",Setup!$B$17)</f>
        <v>Capper</v>
      </c>
      <c r="C9" s="48" t="n">
        <f aca="false">IF(B9="",0,COUNTIFS('Breakdown Log'!$D$7:$D$506,B9,'Breakdown Log'!$B$7:$B$506,"&gt;="&amp;Setup!$C$7,'Breakdown Log'!$B$7:$B$506,"&lt;="&amp;Setup!$C$8))</f>
        <v>16</v>
      </c>
      <c r="D9" s="48" t="n">
        <f aca="false">IF(B9="",0,SUMIFS('Breakdown Log'!$G$7:$G$506,'Breakdown Log'!$D$7:$D$506,B9,'Breakdown Log'!$B$7:$B$506,"&gt;="&amp;Setup!$C$7,'Breakdown Log'!$B$7:$B$506,"&lt;="&amp;Setup!$C$8))</f>
        <v>398</v>
      </c>
      <c r="E9" s="48" t="n">
        <f aca="false">IF(B9="",-1,D9+(100-ROW())/1000)</f>
        <v>398.091</v>
      </c>
      <c r="G9" s="48" t="n">
        <v>3</v>
      </c>
      <c r="H9" s="48" t="str">
        <f aca="false">IF(LARGE($E$7:$E$21,G9)&lt;0,"",INDEX($B$7:$B$21,MATCH(LARGE($E$7:$E$21,G9),$E$7:$E$21,0)))</f>
        <v>Case packer</v>
      </c>
      <c r="I9" s="48" t="n">
        <f aca="false">IF(H9="",0,INDEX($D$7:$D$21,MATCH(LARGE($E$7:$E$21,G9),$E$7:$E$21,0)))</f>
        <v>518</v>
      </c>
      <c r="J9" s="49" t="n">
        <f aca="false">I9/60</f>
        <v>8.63333333333333</v>
      </c>
      <c r="K9" s="50" t="n">
        <f aca="false">IF(SUM($I$7:$I$21)=0,0,SUM($I$7:I9)/SUM($I$7:$I$21))</f>
        <v>0.570307243776632</v>
      </c>
      <c r="L9" s="48" t="n">
        <f aca="false">IF(H9="",0,INDEX($C$7:$C$21,MATCH(LARGE($E$7:$E$21,G9),$E$7:$E$21,0)))</f>
        <v>18</v>
      </c>
    </row>
    <row r="10" customFormat="false" ht="15" hidden="false" customHeight="false" outlineLevel="0" collapsed="false">
      <c r="B10" s="48" t="str">
        <f aca="false">IF(Setup!$B$18="","",Setup!$B$18)</f>
        <v>Labeller</v>
      </c>
      <c r="C10" s="48" t="n">
        <f aca="false">IF(B10="",0,COUNTIFS('Breakdown Log'!$D$7:$D$506,B10,'Breakdown Log'!$B$7:$B$506,"&gt;="&amp;Setup!$C$7,'Breakdown Log'!$B$7:$B$506,"&lt;="&amp;Setup!$C$8))</f>
        <v>31</v>
      </c>
      <c r="D10" s="48" t="n">
        <f aca="false">IF(B10="",0,SUMIFS('Breakdown Log'!$G$7:$G$506,'Breakdown Log'!$D$7:$D$506,B10,'Breakdown Log'!$B$7:$B$506,"&gt;="&amp;Setup!$C$7,'Breakdown Log'!$B$7:$B$506,"&lt;="&amp;Setup!$C$8))</f>
        <v>1487</v>
      </c>
      <c r="E10" s="48" t="n">
        <f aca="false">IF(B10="",-1,D10+(100-ROW())/1000)</f>
        <v>1487.09</v>
      </c>
      <c r="G10" s="48" t="n">
        <v>4</v>
      </c>
      <c r="H10" s="48" t="str">
        <f aca="false">IF(LARGE($E$7:$E$21,G10)&lt;0,"",INDEX($B$7:$B$21,MATCH(LARGE($E$7:$E$21,G10),$E$7:$E$21,0)))</f>
        <v>Palletiser</v>
      </c>
      <c r="I10" s="48" t="n">
        <f aca="false">IF(H10="",0,INDEX($D$7:$D$21,MATCH(LARGE($E$7:$E$21,G10),$E$7:$E$21,0)))</f>
        <v>505</v>
      </c>
      <c r="J10" s="49" t="n">
        <f aca="false">I10/60</f>
        <v>8.41666666666667</v>
      </c>
      <c r="K10" s="50" t="n">
        <f aca="false">IF(SUM($I$7:$I$21)=0,0,SUM($I$7:I10)/SUM($I$7:$I$21))</f>
        <v>0.683561336622561</v>
      </c>
      <c r="L10" s="48" t="n">
        <f aca="false">IF(H10="",0,INDEX($C$7:$C$21,MATCH(LARGE($E$7:$E$21,G10),$E$7:$E$21,0)))</f>
        <v>14</v>
      </c>
    </row>
    <row r="11" customFormat="false" ht="15" hidden="false" customHeight="false" outlineLevel="0" collapsed="false">
      <c r="B11" s="48" t="str">
        <f aca="false">IF(Setup!$B$19="","",Setup!$B$19)</f>
        <v>Shrink wrapper</v>
      </c>
      <c r="C11" s="48" t="n">
        <f aca="false">IF(B11="",0,COUNTIFS('Breakdown Log'!$D$7:$D$506,B11,'Breakdown Log'!$B$7:$B$506,"&gt;="&amp;Setup!$C$7,'Breakdown Log'!$B$7:$B$506,"&lt;="&amp;Setup!$C$8))</f>
        <v>15</v>
      </c>
      <c r="D11" s="48" t="n">
        <f aca="false">IF(B11="",0,SUMIFS('Breakdown Log'!$G$7:$G$506,'Breakdown Log'!$D$7:$D$506,B11,'Breakdown Log'!$B$7:$B$506,"&gt;="&amp;Setup!$C$7,'Breakdown Log'!$B$7:$B$506,"&lt;="&amp;Setup!$C$8))</f>
        <v>471</v>
      </c>
      <c r="E11" s="48" t="n">
        <f aca="false">IF(B11="",-1,D11+(100-ROW())/1000)</f>
        <v>471.089</v>
      </c>
      <c r="G11" s="48" t="n">
        <v>5</v>
      </c>
      <c r="H11" s="48" t="str">
        <f aca="false">IF(LARGE($E$7:$E$21,G11)&lt;0,"",INDEX($B$7:$B$21,MATCH(LARGE($E$7:$E$21,G11),$E$7:$E$21,0)))</f>
        <v>Shrink wrapper</v>
      </c>
      <c r="I11" s="48" t="n">
        <f aca="false">IF(H11="",0,INDEX($D$7:$D$21,MATCH(LARGE($E$7:$E$21,G11),$E$7:$E$21,0)))</f>
        <v>471</v>
      </c>
      <c r="J11" s="49" t="n">
        <f aca="false">I11/60</f>
        <v>7.85</v>
      </c>
      <c r="K11" s="50" t="n">
        <f aca="false">IF(SUM($I$7:$I$21)=0,0,SUM($I$7:I11)/SUM($I$7:$I$21))</f>
        <v>0.789190401435299</v>
      </c>
      <c r="L11" s="48" t="n">
        <f aca="false">IF(H11="",0,INDEX($C$7:$C$21,MATCH(LARGE($E$7:$E$21,G11),$E$7:$E$21,0)))</f>
        <v>15</v>
      </c>
    </row>
    <row r="12" customFormat="false" ht="15" hidden="false" customHeight="false" outlineLevel="0" collapsed="false">
      <c r="B12" s="48" t="str">
        <f aca="false">IF(Setup!$B$20="","",Setup!$B$20)</f>
        <v>Case packer</v>
      </c>
      <c r="C12" s="48" t="n">
        <f aca="false">IF(B12="",0,COUNTIFS('Breakdown Log'!$D$7:$D$506,B12,'Breakdown Log'!$B$7:$B$506,"&gt;="&amp;Setup!$C$7,'Breakdown Log'!$B$7:$B$506,"&lt;="&amp;Setup!$C$8))</f>
        <v>18</v>
      </c>
      <c r="D12" s="48" t="n">
        <f aca="false">IF(B12="",0,SUMIFS('Breakdown Log'!$G$7:$G$506,'Breakdown Log'!$D$7:$D$506,B12,'Breakdown Log'!$B$7:$B$506,"&gt;="&amp;Setup!$C$7,'Breakdown Log'!$B$7:$B$506,"&lt;="&amp;Setup!$C$8))</f>
        <v>518</v>
      </c>
      <c r="E12" s="48" t="n">
        <f aca="false">IF(B12="",-1,D12+(100-ROW())/1000)</f>
        <v>518.088</v>
      </c>
      <c r="G12" s="48" t="n">
        <v>6</v>
      </c>
      <c r="H12" s="48" t="str">
        <f aca="false">IF(LARGE($E$7:$E$21,G12)&lt;0,"",INDEX($B$7:$B$21,MATCH(LARGE($E$7:$E$21,G12),$E$7:$E$21,0)))</f>
        <v>Capper</v>
      </c>
      <c r="I12" s="48" t="n">
        <f aca="false">IF(H12="",0,INDEX($D$7:$D$21,MATCH(LARGE($E$7:$E$21,G12),$E$7:$E$21,0)))</f>
        <v>398</v>
      </c>
      <c r="J12" s="49" t="n">
        <f aca="false">I12/60</f>
        <v>6.63333333333333</v>
      </c>
      <c r="K12" s="50" t="n">
        <f aca="false">IF(SUM($I$7:$I$21)=0,0,SUM($I$7:I12)/SUM($I$7:$I$21))</f>
        <v>0.878448082529715</v>
      </c>
      <c r="L12" s="48" t="n">
        <f aca="false">IF(H12="",0,INDEX($C$7:$C$21,MATCH(LARGE($E$7:$E$21,G12),$E$7:$E$21,0)))</f>
        <v>16</v>
      </c>
    </row>
    <row r="13" customFormat="false" ht="15" hidden="false" customHeight="false" outlineLevel="0" collapsed="false">
      <c r="B13" s="48" t="str">
        <f aca="false">IF(Setup!$B$21="","",Setup!$B$21)</f>
        <v>Palletiser</v>
      </c>
      <c r="C13" s="48" t="n">
        <f aca="false">IF(B13="",0,COUNTIFS('Breakdown Log'!$D$7:$D$506,B13,'Breakdown Log'!$B$7:$B$506,"&gt;="&amp;Setup!$C$7,'Breakdown Log'!$B$7:$B$506,"&lt;="&amp;Setup!$C$8))</f>
        <v>14</v>
      </c>
      <c r="D13" s="48" t="n">
        <f aca="false">IF(B13="",0,SUMIFS('Breakdown Log'!$G$7:$G$506,'Breakdown Log'!$D$7:$D$506,B13,'Breakdown Log'!$B$7:$B$506,"&gt;="&amp;Setup!$C$7,'Breakdown Log'!$B$7:$B$506,"&lt;="&amp;Setup!$C$8))</f>
        <v>505</v>
      </c>
      <c r="E13" s="48" t="n">
        <f aca="false">IF(B13="",-1,D13+(100-ROW())/1000)</f>
        <v>505.087</v>
      </c>
      <c r="G13" s="48" t="n">
        <v>7</v>
      </c>
      <c r="H13" s="48" t="str">
        <f aca="false">IF(LARGE($E$7:$E$21,G13)&lt;0,"",INDEX($B$7:$B$21,MATCH(LARGE($E$7:$E$21,G13),$E$7:$E$21,0)))</f>
        <v>Conveyors</v>
      </c>
      <c r="I13" s="48" t="n">
        <f aca="false">IF(H13="",0,INDEX($D$7:$D$21,MATCH(LARGE($E$7:$E$21,G13),$E$7:$E$21,0)))</f>
        <v>374</v>
      </c>
      <c r="J13" s="49" t="n">
        <f aca="false">I13/60</f>
        <v>6.23333333333333</v>
      </c>
      <c r="K13" s="50" t="n">
        <f aca="false">IF(SUM($I$7:$I$21)=0,0,SUM($I$7:I13)/SUM($I$7:$I$21))</f>
        <v>0.962323390894819</v>
      </c>
      <c r="L13" s="48" t="n">
        <f aca="false">IF(H13="",0,INDEX($C$7:$C$21,MATCH(LARGE($E$7:$E$21,G13),$E$7:$E$21,0)))</f>
        <v>11</v>
      </c>
    </row>
    <row r="14" customFormat="false" ht="15" hidden="false" customHeight="false" outlineLevel="0" collapsed="false">
      <c r="B14" s="48" t="str">
        <f aca="false">IF(Setup!$B$22="","",Setup!$B$22)</f>
        <v>Conveyors</v>
      </c>
      <c r="C14" s="48" t="n">
        <f aca="false">IF(B14="",0,COUNTIFS('Breakdown Log'!$D$7:$D$506,B14,'Breakdown Log'!$B$7:$B$506,"&gt;="&amp;Setup!$C$7,'Breakdown Log'!$B$7:$B$506,"&lt;="&amp;Setup!$C$8))</f>
        <v>11</v>
      </c>
      <c r="D14" s="48" t="n">
        <f aca="false">IF(B14="",0,SUMIFS('Breakdown Log'!$G$7:$G$506,'Breakdown Log'!$D$7:$D$506,B14,'Breakdown Log'!$B$7:$B$506,"&gt;="&amp;Setup!$C$7,'Breakdown Log'!$B$7:$B$506,"&lt;="&amp;Setup!$C$8))</f>
        <v>374</v>
      </c>
      <c r="E14" s="48" t="n">
        <f aca="false">IF(B14="",-1,D14+(100-ROW())/1000)</f>
        <v>374.086</v>
      </c>
      <c r="G14" s="48" t="n">
        <v>8</v>
      </c>
      <c r="H14" s="48" t="str">
        <f aca="false">IF(LARGE($E$7:$E$21,G14)&lt;0,"",INDEX($B$7:$B$21,MATCH(LARGE($E$7:$E$21,G14),$E$7:$E$21,0)))</f>
        <v>Depalletiser</v>
      </c>
      <c r="I14" s="48" t="n">
        <f aca="false">IF(H14="",0,INDEX($D$7:$D$21,MATCH(LARGE($E$7:$E$21,G14),$E$7:$E$21,0)))</f>
        <v>168</v>
      </c>
      <c r="J14" s="49" t="n">
        <f aca="false">I14/60</f>
        <v>2.8</v>
      </c>
      <c r="K14" s="50" t="n">
        <f aca="false">IF(SUM($I$7:$I$21)=0,0,SUM($I$7:I14)/SUM($I$7:$I$21))</f>
        <v>1</v>
      </c>
      <c r="L14" s="48" t="n">
        <f aca="false">IF(H14="",0,INDEX($C$7:$C$21,MATCH(LARGE($E$7:$E$21,G14),$E$7:$E$21,0)))</f>
        <v>6</v>
      </c>
    </row>
    <row r="15" customFormat="false" ht="15" hidden="false" customHeight="false" outlineLevel="0" collapsed="false">
      <c r="B15" s="48" t="str">
        <f aca="false">IF(Setup!$B$23="","",Setup!$B$23)</f>
        <v/>
      </c>
      <c r="C15" s="48" t="n">
        <f aca="false">IF(B15="",0,COUNTIFS('Breakdown Log'!$D$7:$D$506,B15,'Breakdown Log'!$B$7:$B$506,"&gt;="&amp;Setup!$C$7,'Breakdown Log'!$B$7:$B$506,"&lt;="&amp;Setup!$C$8))</f>
        <v>0</v>
      </c>
      <c r="D15" s="48" t="n">
        <f aca="false">IF(B15="",0,SUMIFS('Breakdown Log'!$G$7:$G$506,'Breakdown Log'!$D$7:$D$506,B15,'Breakdown Log'!$B$7:$B$506,"&gt;="&amp;Setup!$C$7,'Breakdown Log'!$B$7:$B$506,"&lt;="&amp;Setup!$C$8))</f>
        <v>0</v>
      </c>
      <c r="E15" s="48" t="n">
        <f aca="false">IF(B15="",-1,D15+(100-ROW())/1000)</f>
        <v>-1</v>
      </c>
      <c r="G15" s="48" t="n">
        <v>9</v>
      </c>
      <c r="H15" s="48" t="str">
        <f aca="false">IF(LARGE($E$7:$E$21,G15)&lt;0,"",INDEX($B$7:$B$21,MATCH(LARGE($E$7:$E$21,G15),$E$7:$E$21,0)))</f>
        <v/>
      </c>
      <c r="I15" s="48" t="n">
        <f aca="false">IF(H15="",0,INDEX($D$7:$D$21,MATCH(LARGE($E$7:$E$21,G15),$E$7:$E$21,0)))</f>
        <v>0</v>
      </c>
      <c r="J15" s="49" t="n">
        <f aca="false">I15/60</f>
        <v>0</v>
      </c>
      <c r="K15" s="50" t="n">
        <f aca="false">IF(SUM($I$7:$I$21)=0,0,SUM($I$7:I15)/SUM($I$7:$I$21))</f>
        <v>1</v>
      </c>
      <c r="L15" s="48" t="n">
        <f aca="false">IF(H15="",0,INDEX($C$7:$C$21,MATCH(LARGE($E$7:$E$21,G15),$E$7:$E$21,0)))</f>
        <v>0</v>
      </c>
    </row>
    <row r="16" customFormat="false" ht="15" hidden="false" customHeight="false" outlineLevel="0" collapsed="false">
      <c r="B16" s="48" t="str">
        <f aca="false">IF(Setup!$B$24="","",Setup!$B$24)</f>
        <v/>
      </c>
      <c r="C16" s="48" t="n">
        <f aca="false">IF(B16="",0,COUNTIFS('Breakdown Log'!$D$7:$D$506,B16,'Breakdown Log'!$B$7:$B$506,"&gt;="&amp;Setup!$C$7,'Breakdown Log'!$B$7:$B$506,"&lt;="&amp;Setup!$C$8))</f>
        <v>0</v>
      </c>
      <c r="D16" s="48" t="n">
        <f aca="false">IF(B16="",0,SUMIFS('Breakdown Log'!$G$7:$G$506,'Breakdown Log'!$D$7:$D$506,B16,'Breakdown Log'!$B$7:$B$506,"&gt;="&amp;Setup!$C$7,'Breakdown Log'!$B$7:$B$506,"&lt;="&amp;Setup!$C$8))</f>
        <v>0</v>
      </c>
      <c r="E16" s="48" t="n">
        <f aca="false">IF(B16="",-1,D16+(100-ROW())/1000)</f>
        <v>-1</v>
      </c>
      <c r="G16" s="48" t="n">
        <v>10</v>
      </c>
      <c r="H16" s="48" t="str">
        <f aca="false">IF(LARGE($E$7:$E$21,G16)&lt;0,"",INDEX($B$7:$B$21,MATCH(LARGE($E$7:$E$21,G16),$E$7:$E$21,0)))</f>
        <v/>
      </c>
      <c r="I16" s="48" t="n">
        <f aca="false">IF(H16="",0,INDEX($D$7:$D$21,MATCH(LARGE($E$7:$E$21,G16),$E$7:$E$21,0)))</f>
        <v>0</v>
      </c>
      <c r="J16" s="49" t="n">
        <f aca="false">I16/60</f>
        <v>0</v>
      </c>
      <c r="K16" s="50" t="n">
        <f aca="false">IF(SUM($I$7:$I$21)=0,0,SUM($I$7:I16)/SUM($I$7:$I$21))</f>
        <v>1</v>
      </c>
      <c r="L16" s="48" t="n">
        <f aca="false">IF(H16="",0,INDEX($C$7:$C$21,MATCH(LARGE($E$7:$E$21,G16),$E$7:$E$21,0)))</f>
        <v>0</v>
      </c>
    </row>
    <row r="17" customFormat="false" ht="15" hidden="false" customHeight="false" outlineLevel="0" collapsed="false">
      <c r="B17" s="48" t="str">
        <f aca="false">IF(Setup!$B$25="","",Setup!$B$25)</f>
        <v/>
      </c>
      <c r="C17" s="48" t="n">
        <f aca="false">IF(B17="",0,COUNTIFS('Breakdown Log'!$D$7:$D$506,B17,'Breakdown Log'!$B$7:$B$506,"&gt;="&amp;Setup!$C$7,'Breakdown Log'!$B$7:$B$506,"&lt;="&amp;Setup!$C$8))</f>
        <v>0</v>
      </c>
      <c r="D17" s="48" t="n">
        <f aca="false">IF(B17="",0,SUMIFS('Breakdown Log'!$G$7:$G$506,'Breakdown Log'!$D$7:$D$506,B17,'Breakdown Log'!$B$7:$B$506,"&gt;="&amp;Setup!$C$7,'Breakdown Log'!$B$7:$B$506,"&lt;="&amp;Setup!$C$8))</f>
        <v>0</v>
      </c>
      <c r="E17" s="48" t="n">
        <f aca="false">IF(B17="",-1,D17+(100-ROW())/1000)</f>
        <v>-1</v>
      </c>
      <c r="G17" s="48" t="n">
        <v>11</v>
      </c>
      <c r="H17" s="48" t="str">
        <f aca="false">IF(LARGE($E$7:$E$21,G17)&lt;0,"",INDEX($B$7:$B$21,MATCH(LARGE($E$7:$E$21,G17),$E$7:$E$21,0)))</f>
        <v/>
      </c>
      <c r="I17" s="48" t="n">
        <f aca="false">IF(H17="",0,INDEX($D$7:$D$21,MATCH(LARGE($E$7:$E$21,G17),$E$7:$E$21,0)))</f>
        <v>0</v>
      </c>
      <c r="J17" s="49" t="n">
        <f aca="false">I17/60</f>
        <v>0</v>
      </c>
      <c r="K17" s="50" t="n">
        <f aca="false">IF(SUM($I$7:$I$21)=0,0,SUM($I$7:I17)/SUM($I$7:$I$21))</f>
        <v>1</v>
      </c>
      <c r="L17" s="48" t="n">
        <f aca="false">IF(H17="",0,INDEX($C$7:$C$21,MATCH(LARGE($E$7:$E$21,G17),$E$7:$E$21,0)))</f>
        <v>0</v>
      </c>
    </row>
    <row r="18" customFormat="false" ht="15" hidden="false" customHeight="false" outlineLevel="0" collapsed="false">
      <c r="B18" s="48" t="str">
        <f aca="false">IF(Setup!$B$26="","",Setup!$B$26)</f>
        <v/>
      </c>
      <c r="C18" s="48" t="n">
        <f aca="false">IF(B18="",0,COUNTIFS('Breakdown Log'!$D$7:$D$506,B18,'Breakdown Log'!$B$7:$B$506,"&gt;="&amp;Setup!$C$7,'Breakdown Log'!$B$7:$B$506,"&lt;="&amp;Setup!$C$8))</f>
        <v>0</v>
      </c>
      <c r="D18" s="48" t="n">
        <f aca="false">IF(B18="",0,SUMIFS('Breakdown Log'!$G$7:$G$506,'Breakdown Log'!$D$7:$D$506,B18,'Breakdown Log'!$B$7:$B$506,"&gt;="&amp;Setup!$C$7,'Breakdown Log'!$B$7:$B$506,"&lt;="&amp;Setup!$C$8))</f>
        <v>0</v>
      </c>
      <c r="E18" s="48" t="n">
        <f aca="false">IF(B18="",-1,D18+(100-ROW())/1000)</f>
        <v>-1</v>
      </c>
      <c r="G18" s="48" t="n">
        <v>12</v>
      </c>
      <c r="H18" s="48" t="str">
        <f aca="false">IF(LARGE($E$7:$E$21,G18)&lt;0,"",INDEX($B$7:$B$21,MATCH(LARGE($E$7:$E$21,G18),$E$7:$E$21,0)))</f>
        <v/>
      </c>
      <c r="I18" s="48" t="n">
        <f aca="false">IF(H18="",0,INDEX($D$7:$D$21,MATCH(LARGE($E$7:$E$21,G18),$E$7:$E$21,0)))</f>
        <v>0</v>
      </c>
      <c r="J18" s="49" t="n">
        <f aca="false">I18/60</f>
        <v>0</v>
      </c>
      <c r="K18" s="50" t="n">
        <f aca="false">IF(SUM($I$7:$I$21)=0,0,SUM($I$7:I18)/SUM($I$7:$I$21))</f>
        <v>1</v>
      </c>
      <c r="L18" s="48" t="n">
        <f aca="false">IF(H18="",0,INDEX($C$7:$C$21,MATCH(LARGE($E$7:$E$21,G18),$E$7:$E$21,0)))</f>
        <v>0</v>
      </c>
    </row>
    <row r="19" customFormat="false" ht="15" hidden="false" customHeight="false" outlineLevel="0" collapsed="false">
      <c r="B19" s="48" t="str">
        <f aca="false">IF(Setup!$B$27="","",Setup!$B$27)</f>
        <v/>
      </c>
      <c r="C19" s="48" t="n">
        <f aca="false">IF(B19="",0,COUNTIFS('Breakdown Log'!$D$7:$D$506,B19,'Breakdown Log'!$B$7:$B$506,"&gt;="&amp;Setup!$C$7,'Breakdown Log'!$B$7:$B$506,"&lt;="&amp;Setup!$C$8))</f>
        <v>0</v>
      </c>
      <c r="D19" s="48" t="n">
        <f aca="false">IF(B19="",0,SUMIFS('Breakdown Log'!$G$7:$G$506,'Breakdown Log'!$D$7:$D$506,B19,'Breakdown Log'!$B$7:$B$506,"&gt;="&amp;Setup!$C$7,'Breakdown Log'!$B$7:$B$506,"&lt;="&amp;Setup!$C$8))</f>
        <v>0</v>
      </c>
      <c r="E19" s="48" t="n">
        <f aca="false">IF(B19="",-1,D19+(100-ROW())/1000)</f>
        <v>-1</v>
      </c>
      <c r="G19" s="48" t="n">
        <v>13</v>
      </c>
      <c r="H19" s="48" t="str">
        <f aca="false">IF(LARGE($E$7:$E$21,G19)&lt;0,"",INDEX($B$7:$B$21,MATCH(LARGE($E$7:$E$21,G19),$E$7:$E$21,0)))</f>
        <v/>
      </c>
      <c r="I19" s="48" t="n">
        <f aca="false">IF(H19="",0,INDEX($D$7:$D$21,MATCH(LARGE($E$7:$E$21,G19),$E$7:$E$21,0)))</f>
        <v>0</v>
      </c>
      <c r="J19" s="49" t="n">
        <f aca="false">I19/60</f>
        <v>0</v>
      </c>
      <c r="K19" s="50" t="n">
        <f aca="false">IF(SUM($I$7:$I$21)=0,0,SUM($I$7:I19)/SUM($I$7:$I$21))</f>
        <v>1</v>
      </c>
      <c r="L19" s="48" t="n">
        <f aca="false">IF(H19="",0,INDEX($C$7:$C$21,MATCH(LARGE($E$7:$E$21,G19),$E$7:$E$21,0)))</f>
        <v>0</v>
      </c>
    </row>
    <row r="20" customFormat="false" ht="15" hidden="false" customHeight="false" outlineLevel="0" collapsed="false">
      <c r="B20" s="48" t="str">
        <f aca="false">IF(Setup!$B$28="","",Setup!$B$28)</f>
        <v/>
      </c>
      <c r="C20" s="48" t="n">
        <f aca="false">IF(B20="",0,COUNTIFS('Breakdown Log'!$D$7:$D$506,B20,'Breakdown Log'!$B$7:$B$506,"&gt;="&amp;Setup!$C$7,'Breakdown Log'!$B$7:$B$506,"&lt;="&amp;Setup!$C$8))</f>
        <v>0</v>
      </c>
      <c r="D20" s="48" t="n">
        <f aca="false">IF(B20="",0,SUMIFS('Breakdown Log'!$G$7:$G$506,'Breakdown Log'!$D$7:$D$506,B20,'Breakdown Log'!$B$7:$B$506,"&gt;="&amp;Setup!$C$7,'Breakdown Log'!$B$7:$B$506,"&lt;="&amp;Setup!$C$8))</f>
        <v>0</v>
      </c>
      <c r="E20" s="48" t="n">
        <f aca="false">IF(B20="",-1,D20+(100-ROW())/1000)</f>
        <v>-1</v>
      </c>
      <c r="G20" s="48" t="n">
        <v>14</v>
      </c>
      <c r="H20" s="48" t="str">
        <f aca="false">IF(LARGE($E$7:$E$21,G20)&lt;0,"",INDEX($B$7:$B$21,MATCH(LARGE($E$7:$E$21,G20),$E$7:$E$21,0)))</f>
        <v/>
      </c>
      <c r="I20" s="48" t="n">
        <f aca="false">IF(H20="",0,INDEX($D$7:$D$21,MATCH(LARGE($E$7:$E$21,G20),$E$7:$E$21,0)))</f>
        <v>0</v>
      </c>
      <c r="J20" s="49" t="n">
        <f aca="false">I20/60</f>
        <v>0</v>
      </c>
      <c r="K20" s="50" t="n">
        <f aca="false">IF(SUM($I$7:$I$21)=0,0,SUM($I$7:I20)/SUM($I$7:$I$21))</f>
        <v>1</v>
      </c>
      <c r="L20" s="48" t="n">
        <f aca="false">IF(H20="",0,INDEX($C$7:$C$21,MATCH(LARGE($E$7:$E$21,G20),$E$7:$E$21,0)))</f>
        <v>0</v>
      </c>
    </row>
    <row r="21" customFormat="false" ht="15" hidden="false" customHeight="false" outlineLevel="0" collapsed="false">
      <c r="B21" s="48" t="str">
        <f aca="false">IF(Setup!$B$29="","",Setup!$B$29)</f>
        <v/>
      </c>
      <c r="C21" s="48" t="n">
        <f aca="false">IF(B21="",0,COUNTIFS('Breakdown Log'!$D$7:$D$506,B21,'Breakdown Log'!$B$7:$B$506,"&gt;="&amp;Setup!$C$7,'Breakdown Log'!$B$7:$B$506,"&lt;="&amp;Setup!$C$8))</f>
        <v>0</v>
      </c>
      <c r="D21" s="48" t="n">
        <f aca="false">IF(B21="",0,SUMIFS('Breakdown Log'!$G$7:$G$506,'Breakdown Log'!$D$7:$D$506,B21,'Breakdown Log'!$B$7:$B$506,"&gt;="&amp;Setup!$C$7,'Breakdown Log'!$B$7:$B$506,"&lt;="&amp;Setup!$C$8))</f>
        <v>0</v>
      </c>
      <c r="E21" s="48" t="n">
        <f aca="false">IF(B21="",-1,D21+(100-ROW())/1000)</f>
        <v>-1</v>
      </c>
      <c r="G21" s="48" t="n">
        <v>15</v>
      </c>
      <c r="H21" s="48" t="str">
        <f aca="false">IF(LARGE($E$7:$E$21,G21)&lt;0,"",INDEX($B$7:$B$21,MATCH(LARGE($E$7:$E$21,G21),$E$7:$E$21,0)))</f>
        <v/>
      </c>
      <c r="I21" s="48" t="n">
        <f aca="false">IF(H21="",0,INDEX($D$7:$D$21,MATCH(LARGE($E$7:$E$21,G21),$E$7:$E$21,0)))</f>
        <v>0</v>
      </c>
      <c r="J21" s="49" t="n">
        <f aca="false">I21/60</f>
        <v>0</v>
      </c>
      <c r="K21" s="50" t="n">
        <f aca="false">IF(SUM($I$7:$I$21)=0,0,SUM($I$7:I21)/SUM($I$7:$I$21))</f>
        <v>1</v>
      </c>
      <c r="L21" s="48" t="n">
        <f aca="false">IF(H21="",0,INDEX($C$7:$C$21,MATCH(LARGE($E$7:$E$21,G21),$E$7:$E$21,0)))</f>
        <v>0</v>
      </c>
    </row>
    <row r="24" customFormat="false" ht="15" hidden="false" customHeight="false" outlineLevel="0" collapsed="false">
      <c r="B24" s="7" t="s">
        <v>147</v>
      </c>
      <c r="H24" s="7" t="s">
        <v>148</v>
      </c>
    </row>
    <row r="25" customFormat="false" ht="15" hidden="false" customHeight="false" outlineLevel="0" collapsed="false">
      <c r="B25" s="7" t="s">
        <v>149</v>
      </c>
      <c r="C25" s="7" t="s">
        <v>141</v>
      </c>
      <c r="D25" s="7" t="s">
        <v>142</v>
      </c>
      <c r="E25" s="7" t="s">
        <v>143</v>
      </c>
      <c r="G25" s="7" t="s">
        <v>144</v>
      </c>
      <c r="H25" s="7" t="s">
        <v>149</v>
      </c>
      <c r="I25" s="7" t="s">
        <v>142</v>
      </c>
      <c r="J25" s="7" t="s">
        <v>145</v>
      </c>
      <c r="K25" s="7" t="s">
        <v>146</v>
      </c>
      <c r="L25" s="7" t="s">
        <v>141</v>
      </c>
    </row>
    <row r="26" customFormat="false" ht="15" hidden="false" customHeight="false" outlineLevel="0" collapsed="false">
      <c r="B26" s="48" t="str">
        <f aca="false">IF(Setup!$D$15="","",Setup!$D$15)</f>
        <v>Mechanical</v>
      </c>
      <c r="C26" s="48" t="n">
        <f aca="false">IF(B26="",0,COUNTIFS('Breakdown Log'!$E$7:$E$506,B26,'Breakdown Log'!$B$7:$B$506,"&gt;="&amp;Setup!$C$7,'Breakdown Log'!$B$7:$B$506,"&lt;="&amp;Setup!$C$8))</f>
        <v>39</v>
      </c>
      <c r="D26" s="48" t="n">
        <f aca="false">IF(B26="",0,SUMIFS('Breakdown Log'!$G$7:$G$506,'Breakdown Log'!$E$7:$E$506,B26,'Breakdown Log'!$B$7:$B$506,"&gt;="&amp;Setup!$C$7,'Breakdown Log'!$B$7:$B$506,"&lt;="&amp;Setup!$C$8))</f>
        <v>1376</v>
      </c>
      <c r="E26" s="48" t="n">
        <f aca="false">IF(B26="",-1,D26+(100-ROW())/1000)</f>
        <v>1376.074</v>
      </c>
      <c r="G26" s="48" t="n">
        <v>1</v>
      </c>
      <c r="H26" s="48" t="str">
        <f aca="false">IF(LARGE($E$26:$E$35,G26)&lt;0,"",INDEX($B$26:$B$35,MATCH(LARGE($E$26:$E$35,G26),$E$26:$E$35,0)))</f>
        <v>Mechanical</v>
      </c>
      <c r="I26" s="48" t="n">
        <f aca="false">IF(H26="",0,INDEX($D$26:$D$35,MATCH(LARGE($E$26:$E$35,G26),$E$26:$E$35,0)))</f>
        <v>1376</v>
      </c>
      <c r="J26" s="49" t="n">
        <f aca="false">I26/60</f>
        <v>22.9333333333333</v>
      </c>
      <c r="K26" s="50" t="n">
        <f aca="false">IF(SUM($I$26:$I$35)=0,0,SUM($I$26:I26)/SUM($I$26:$I$35))</f>
        <v>0.30858936981386</v>
      </c>
      <c r="L26" s="48" t="n">
        <f aca="false">IF(H26="",0,INDEX($C$26:$C$35,MATCH(LARGE($E$26:$E$35,G26),$E$26:$E$35,0)))</f>
        <v>39</v>
      </c>
    </row>
    <row r="27" customFormat="false" ht="15" hidden="false" customHeight="false" outlineLevel="0" collapsed="false">
      <c r="B27" s="48" t="str">
        <f aca="false">IF(Setup!$D$16="","",Setup!$D$16)</f>
        <v>Electrical</v>
      </c>
      <c r="C27" s="48" t="n">
        <f aca="false">IF(B27="",0,COUNTIFS('Breakdown Log'!$E$7:$E$506,B27,'Breakdown Log'!$B$7:$B$506,"&gt;="&amp;Setup!$C$7,'Breakdown Log'!$B$7:$B$506,"&lt;="&amp;Setup!$C$8))</f>
        <v>11</v>
      </c>
      <c r="D27" s="48" t="n">
        <f aca="false">IF(B27="",0,SUMIFS('Breakdown Log'!$G$7:$G$506,'Breakdown Log'!$E$7:$E$506,B27,'Breakdown Log'!$B$7:$B$506,"&gt;="&amp;Setup!$C$7,'Breakdown Log'!$B$7:$B$506,"&lt;="&amp;Setup!$C$8))</f>
        <v>199</v>
      </c>
      <c r="E27" s="48" t="n">
        <f aca="false">IF(B27="",-1,D27+(100-ROW())/1000)</f>
        <v>199.073</v>
      </c>
      <c r="G27" s="48" t="n">
        <v>2</v>
      </c>
      <c r="H27" s="48" t="str">
        <f aca="false">IF(LARGE($E$26:$E$35,G27)&lt;0,"",INDEX($B$26:$B$35,MATCH(LARGE($E$26:$E$35,G27),$E$26:$E$35,0)))</f>
        <v>Material or supply</v>
      </c>
      <c r="I27" s="48" t="n">
        <f aca="false">IF(H27="",0,INDEX($D$26:$D$35,MATCH(LARGE($E$26:$E$35,G27),$E$26:$E$35,0)))</f>
        <v>973</v>
      </c>
      <c r="J27" s="49" t="n">
        <f aca="false">I27/60</f>
        <v>16.2166666666667</v>
      </c>
      <c r="K27" s="50" t="n">
        <f aca="false">IF(SUM($I$26:$I$35)=0,0,SUM($I$26:I27)/SUM($I$26:$I$35))</f>
        <v>0.526799730881364</v>
      </c>
      <c r="L27" s="48" t="n">
        <f aca="false">IF(H27="",0,INDEX($C$26:$C$35,MATCH(LARGE($E$26:$E$35,G27),$E$26:$E$35,0)))</f>
        <v>24</v>
      </c>
    </row>
    <row r="28" customFormat="false" ht="15" hidden="false" customHeight="false" outlineLevel="0" collapsed="false">
      <c r="B28" s="48" t="str">
        <f aca="false">IF(Setup!$D$17="","",Setup!$D$17)</f>
        <v>Pneumatic</v>
      </c>
      <c r="C28" s="48" t="n">
        <f aca="false">IF(B28="",0,COUNTIFS('Breakdown Log'!$E$7:$E$506,B28,'Breakdown Log'!$B$7:$B$506,"&gt;="&amp;Setup!$C$7,'Breakdown Log'!$B$7:$B$506,"&lt;="&amp;Setup!$C$8))</f>
        <v>11</v>
      </c>
      <c r="D28" s="48" t="n">
        <f aca="false">IF(B28="",0,SUMIFS('Breakdown Log'!$G$7:$G$506,'Breakdown Log'!$E$7:$E$506,B28,'Breakdown Log'!$B$7:$B$506,"&gt;="&amp;Setup!$C$7,'Breakdown Log'!$B$7:$B$506,"&lt;="&amp;Setup!$C$8))</f>
        <v>255</v>
      </c>
      <c r="E28" s="48" t="n">
        <f aca="false">IF(B28="",-1,D28+(100-ROW())/1000)</f>
        <v>255.072</v>
      </c>
      <c r="G28" s="48" t="n">
        <v>3</v>
      </c>
      <c r="H28" s="48" t="str">
        <f aca="false">IF(LARGE($E$26:$E$35,G28)&lt;0,"",INDEX($B$26:$B$35,MATCH(LARGE($E$26:$E$35,G28),$E$26:$E$35,0)))</f>
        <v>Sensor or controls</v>
      </c>
      <c r="I28" s="48" t="n">
        <f aca="false">IF(H28="",0,INDEX($D$26:$D$35,MATCH(LARGE($E$26:$E$35,G28),$E$26:$E$35,0)))</f>
        <v>942</v>
      </c>
      <c r="J28" s="49" t="n">
        <f aca="false">I28/60</f>
        <v>15.7</v>
      </c>
      <c r="K28" s="50" t="n">
        <f aca="false">IF(SUM($I$26:$I$35)=0,0,SUM($I$26:I28)/SUM($I$26:$I$35))</f>
        <v>0.73805786050684</v>
      </c>
      <c r="L28" s="48" t="n">
        <f aca="false">IF(H28="",0,INDEX($C$26:$C$35,MATCH(LARGE($E$26:$E$35,G28),$E$26:$E$35,0)))</f>
        <v>26</v>
      </c>
    </row>
    <row r="29" customFormat="false" ht="15" hidden="false" customHeight="false" outlineLevel="0" collapsed="false">
      <c r="B29" s="48" t="str">
        <f aca="false">IF(Setup!$D$18="","",Setup!$D$18)</f>
        <v>Sensor or controls</v>
      </c>
      <c r="C29" s="48" t="n">
        <f aca="false">IF(B29="",0,COUNTIFS('Breakdown Log'!$E$7:$E$506,B29,'Breakdown Log'!$B$7:$B$506,"&gt;="&amp;Setup!$C$7,'Breakdown Log'!$B$7:$B$506,"&lt;="&amp;Setup!$C$8))</f>
        <v>26</v>
      </c>
      <c r="D29" s="48" t="n">
        <f aca="false">IF(B29="",0,SUMIFS('Breakdown Log'!$G$7:$G$506,'Breakdown Log'!$E$7:$E$506,B29,'Breakdown Log'!$B$7:$B$506,"&gt;="&amp;Setup!$C$7,'Breakdown Log'!$B$7:$B$506,"&lt;="&amp;Setup!$C$8))</f>
        <v>942</v>
      </c>
      <c r="E29" s="48" t="n">
        <f aca="false">IF(B29="",-1,D29+(100-ROW())/1000)</f>
        <v>942.071</v>
      </c>
      <c r="G29" s="48" t="n">
        <v>4</v>
      </c>
      <c r="H29" s="48" t="str">
        <f aca="false">IF(LARGE($E$26:$E$35,G29)&lt;0,"",INDEX($B$26:$B$35,MATCH(LARGE($E$26:$E$35,G29),$E$26:$E$35,0)))</f>
        <v>Other</v>
      </c>
      <c r="I29" s="48" t="n">
        <f aca="false">IF(H29="",0,INDEX($D$26:$D$35,MATCH(LARGE($E$26:$E$35,G29),$E$26:$E$35,0)))</f>
        <v>404</v>
      </c>
      <c r="J29" s="49" t="n">
        <f aca="false">I29/60</f>
        <v>6.73333333333333</v>
      </c>
      <c r="K29" s="50" t="n">
        <f aca="false">IF(SUM($I$26:$I$35)=0,0,SUM($I$26:I29)/SUM($I$26:$I$35))</f>
        <v>0.828661134783584</v>
      </c>
      <c r="L29" s="48" t="n">
        <f aca="false">IF(H29="",0,INDEX($C$26:$C$35,MATCH(LARGE($E$26:$E$35,G29),$E$26:$E$35,0)))</f>
        <v>9</v>
      </c>
    </row>
    <row r="30" customFormat="false" ht="15" hidden="false" customHeight="false" outlineLevel="0" collapsed="false">
      <c r="B30" s="48" t="str">
        <f aca="false">IF(Setup!$D$19="","",Setup!$D$19)</f>
        <v>Changeover or setup</v>
      </c>
      <c r="C30" s="48" t="n">
        <f aca="false">IF(B30="",0,COUNTIFS('Breakdown Log'!$E$7:$E$506,B30,'Breakdown Log'!$B$7:$B$506,"&gt;="&amp;Setup!$C$7,'Breakdown Log'!$B$7:$B$506,"&lt;="&amp;Setup!$C$8))</f>
        <v>12</v>
      </c>
      <c r="D30" s="48" t="n">
        <f aca="false">IF(B30="",0,SUMIFS('Breakdown Log'!$G$7:$G$506,'Breakdown Log'!$E$7:$E$506,B30,'Breakdown Log'!$B$7:$B$506,"&gt;="&amp;Setup!$C$7,'Breakdown Log'!$B$7:$B$506,"&lt;="&amp;Setup!$C$8))</f>
        <v>310</v>
      </c>
      <c r="E30" s="48" t="n">
        <f aca="false">IF(B30="",-1,D30+(100-ROW())/1000)</f>
        <v>310.07</v>
      </c>
      <c r="G30" s="48" t="n">
        <v>5</v>
      </c>
      <c r="H30" s="48" t="str">
        <f aca="false">IF(LARGE($E$26:$E$35,G30)&lt;0,"",INDEX($B$26:$B$35,MATCH(LARGE($E$26:$E$35,G30),$E$26:$E$35,0)))</f>
        <v>Changeover or setup</v>
      </c>
      <c r="I30" s="48" t="n">
        <f aca="false">IF(H30="",0,INDEX($D$26:$D$35,MATCH(LARGE($E$26:$E$35,G30),$E$26:$E$35,0)))</f>
        <v>310</v>
      </c>
      <c r="J30" s="49" t="n">
        <f aca="false">I30/60</f>
        <v>5.16666666666667</v>
      </c>
      <c r="K30" s="50" t="n">
        <f aca="false">IF(SUM($I$26:$I$35)=0,0,SUM($I$26:I30)/SUM($I$26:$I$35))</f>
        <v>0.898183449203857</v>
      </c>
      <c r="L30" s="48" t="n">
        <f aca="false">IF(H30="",0,INDEX($C$26:$C$35,MATCH(LARGE($E$26:$E$35,G30),$E$26:$E$35,0)))</f>
        <v>12</v>
      </c>
    </row>
    <row r="31" customFormat="false" ht="15" hidden="false" customHeight="false" outlineLevel="0" collapsed="false">
      <c r="B31" s="48" t="str">
        <f aca="false">IF(Setup!$D$20="","",Setup!$D$20)</f>
        <v>Material or supply</v>
      </c>
      <c r="C31" s="48" t="n">
        <f aca="false">IF(B31="",0,COUNTIFS('Breakdown Log'!$E$7:$E$506,B31,'Breakdown Log'!$B$7:$B$506,"&gt;="&amp;Setup!$C$7,'Breakdown Log'!$B$7:$B$506,"&lt;="&amp;Setup!$C$8))</f>
        <v>24</v>
      </c>
      <c r="D31" s="48" t="n">
        <f aca="false">IF(B31="",0,SUMIFS('Breakdown Log'!$G$7:$G$506,'Breakdown Log'!$E$7:$E$506,B31,'Breakdown Log'!$B$7:$B$506,"&gt;="&amp;Setup!$C$7,'Breakdown Log'!$B$7:$B$506,"&lt;="&amp;Setup!$C$8))</f>
        <v>973</v>
      </c>
      <c r="E31" s="48" t="n">
        <f aca="false">IF(B31="",-1,D31+(100-ROW())/1000)</f>
        <v>973.069</v>
      </c>
      <c r="G31" s="48" t="n">
        <v>6</v>
      </c>
      <c r="H31" s="48" t="str">
        <f aca="false">IF(LARGE($E$26:$E$35,G31)&lt;0,"",INDEX($B$26:$B$35,MATCH(LARGE($E$26:$E$35,G31),$E$26:$E$35,0)))</f>
        <v>Pneumatic</v>
      </c>
      <c r="I31" s="48" t="n">
        <f aca="false">IF(H31="",0,INDEX($D$26:$D$35,MATCH(LARGE($E$26:$E$35,G31),$E$26:$E$35,0)))</f>
        <v>255</v>
      </c>
      <c r="J31" s="49" t="n">
        <f aca="false">I31/60</f>
        <v>4.25</v>
      </c>
      <c r="K31" s="50" t="n">
        <f aca="false">IF(SUM($I$26:$I$35)=0,0,SUM($I$26:I31)/SUM($I$26:$I$35))</f>
        <v>0.955371159452792</v>
      </c>
      <c r="L31" s="48" t="n">
        <f aca="false">IF(H31="",0,INDEX($C$26:$C$35,MATCH(LARGE($E$26:$E$35,G31),$E$26:$E$35,0)))</f>
        <v>11</v>
      </c>
    </row>
    <row r="32" customFormat="false" ht="15" hidden="false" customHeight="false" outlineLevel="0" collapsed="false">
      <c r="B32" s="48" t="str">
        <f aca="false">IF(Setup!$D$21="","",Setup!$D$21)</f>
        <v>Other</v>
      </c>
      <c r="C32" s="48" t="n">
        <f aca="false">IF(B32="",0,COUNTIFS('Breakdown Log'!$E$7:$E$506,B32,'Breakdown Log'!$B$7:$B$506,"&gt;="&amp;Setup!$C$7,'Breakdown Log'!$B$7:$B$506,"&lt;="&amp;Setup!$C$8))</f>
        <v>9</v>
      </c>
      <c r="D32" s="48" t="n">
        <f aca="false">IF(B32="",0,SUMIFS('Breakdown Log'!$G$7:$G$506,'Breakdown Log'!$E$7:$E$506,B32,'Breakdown Log'!$B$7:$B$506,"&gt;="&amp;Setup!$C$7,'Breakdown Log'!$B$7:$B$506,"&lt;="&amp;Setup!$C$8))</f>
        <v>404</v>
      </c>
      <c r="E32" s="48" t="n">
        <f aca="false">IF(B32="",-1,D32+(100-ROW())/1000)</f>
        <v>404.068</v>
      </c>
      <c r="G32" s="48" t="n">
        <v>7</v>
      </c>
      <c r="H32" s="48" t="str">
        <f aca="false">IF(LARGE($E$26:$E$35,G32)&lt;0,"",INDEX($B$26:$B$35,MATCH(LARGE($E$26:$E$35,G32),$E$26:$E$35,0)))</f>
        <v>Electrical</v>
      </c>
      <c r="I32" s="48" t="n">
        <f aca="false">IF(H32="",0,INDEX($D$26:$D$35,MATCH(LARGE($E$26:$E$35,G32),$E$26:$E$35,0)))</f>
        <v>199</v>
      </c>
      <c r="J32" s="49" t="n">
        <f aca="false">I32/60</f>
        <v>3.31666666666667</v>
      </c>
      <c r="K32" s="50" t="n">
        <f aca="false">IF(SUM($I$26:$I$35)=0,0,SUM($I$26:I32)/SUM($I$26:$I$35))</f>
        <v>1</v>
      </c>
      <c r="L32" s="48" t="n">
        <f aca="false">IF(H32="",0,INDEX($C$26:$C$35,MATCH(LARGE($E$26:$E$35,G32),$E$26:$E$35,0)))</f>
        <v>11</v>
      </c>
    </row>
    <row r="33" customFormat="false" ht="15" hidden="false" customHeight="false" outlineLevel="0" collapsed="false">
      <c r="B33" s="48" t="str">
        <f aca="false">IF(Setup!$D$22="","",Setup!$D$22)</f>
        <v/>
      </c>
      <c r="C33" s="48" t="n">
        <f aca="false">IF(B33="",0,COUNTIFS('Breakdown Log'!$E$7:$E$506,B33,'Breakdown Log'!$B$7:$B$506,"&gt;="&amp;Setup!$C$7,'Breakdown Log'!$B$7:$B$506,"&lt;="&amp;Setup!$C$8))</f>
        <v>0</v>
      </c>
      <c r="D33" s="48" t="n">
        <f aca="false">IF(B33="",0,SUMIFS('Breakdown Log'!$G$7:$G$506,'Breakdown Log'!$E$7:$E$506,B33,'Breakdown Log'!$B$7:$B$506,"&gt;="&amp;Setup!$C$7,'Breakdown Log'!$B$7:$B$506,"&lt;="&amp;Setup!$C$8))</f>
        <v>0</v>
      </c>
      <c r="E33" s="48" t="n">
        <f aca="false">IF(B33="",-1,D33+(100-ROW())/1000)</f>
        <v>-1</v>
      </c>
      <c r="G33" s="48" t="n">
        <v>8</v>
      </c>
      <c r="H33" s="48" t="str">
        <f aca="false">IF(LARGE($E$26:$E$35,G33)&lt;0,"",INDEX($B$26:$B$35,MATCH(LARGE($E$26:$E$35,G33),$E$26:$E$35,0)))</f>
        <v/>
      </c>
      <c r="I33" s="48" t="n">
        <f aca="false">IF(H33="",0,INDEX($D$26:$D$35,MATCH(LARGE($E$26:$E$35,G33),$E$26:$E$35,0)))</f>
        <v>0</v>
      </c>
      <c r="J33" s="49" t="n">
        <f aca="false">I33/60</f>
        <v>0</v>
      </c>
      <c r="K33" s="50" t="n">
        <f aca="false">IF(SUM($I$26:$I$35)=0,0,SUM($I$26:I33)/SUM($I$26:$I$35))</f>
        <v>1</v>
      </c>
      <c r="L33" s="48" t="n">
        <f aca="false">IF(H33="",0,INDEX($C$26:$C$35,MATCH(LARGE($E$26:$E$35,G33),$E$26:$E$35,0)))</f>
        <v>0</v>
      </c>
    </row>
    <row r="34" customFormat="false" ht="15" hidden="false" customHeight="false" outlineLevel="0" collapsed="false">
      <c r="B34" s="48" t="str">
        <f aca="false">IF(Setup!$D$23="","",Setup!$D$23)</f>
        <v/>
      </c>
      <c r="C34" s="48" t="n">
        <f aca="false">IF(B34="",0,COUNTIFS('Breakdown Log'!$E$7:$E$506,B34,'Breakdown Log'!$B$7:$B$506,"&gt;="&amp;Setup!$C$7,'Breakdown Log'!$B$7:$B$506,"&lt;="&amp;Setup!$C$8))</f>
        <v>0</v>
      </c>
      <c r="D34" s="48" t="n">
        <f aca="false">IF(B34="",0,SUMIFS('Breakdown Log'!$G$7:$G$506,'Breakdown Log'!$E$7:$E$506,B34,'Breakdown Log'!$B$7:$B$506,"&gt;="&amp;Setup!$C$7,'Breakdown Log'!$B$7:$B$506,"&lt;="&amp;Setup!$C$8))</f>
        <v>0</v>
      </c>
      <c r="E34" s="48" t="n">
        <f aca="false">IF(B34="",-1,D34+(100-ROW())/1000)</f>
        <v>-1</v>
      </c>
      <c r="G34" s="48" t="n">
        <v>9</v>
      </c>
      <c r="H34" s="48" t="str">
        <f aca="false">IF(LARGE($E$26:$E$35,G34)&lt;0,"",INDEX($B$26:$B$35,MATCH(LARGE($E$26:$E$35,G34),$E$26:$E$35,0)))</f>
        <v/>
      </c>
      <c r="I34" s="48" t="n">
        <f aca="false">IF(H34="",0,INDEX($D$26:$D$35,MATCH(LARGE($E$26:$E$35,G34),$E$26:$E$35,0)))</f>
        <v>0</v>
      </c>
      <c r="J34" s="49" t="n">
        <f aca="false">I34/60</f>
        <v>0</v>
      </c>
      <c r="K34" s="50" t="n">
        <f aca="false">IF(SUM($I$26:$I$35)=0,0,SUM($I$26:I34)/SUM($I$26:$I$35))</f>
        <v>1</v>
      </c>
      <c r="L34" s="48" t="n">
        <f aca="false">IF(H34="",0,INDEX($C$26:$C$35,MATCH(LARGE($E$26:$E$35,G34),$E$26:$E$35,0)))</f>
        <v>0</v>
      </c>
    </row>
    <row r="35" customFormat="false" ht="15" hidden="false" customHeight="false" outlineLevel="0" collapsed="false">
      <c r="B35" s="48" t="str">
        <f aca="false">IF(Setup!$D$24="","",Setup!$D$24)</f>
        <v/>
      </c>
      <c r="C35" s="48" t="n">
        <f aca="false">IF(B35="",0,COUNTIFS('Breakdown Log'!$E$7:$E$506,B35,'Breakdown Log'!$B$7:$B$506,"&gt;="&amp;Setup!$C$7,'Breakdown Log'!$B$7:$B$506,"&lt;="&amp;Setup!$C$8))</f>
        <v>0</v>
      </c>
      <c r="D35" s="48" t="n">
        <f aca="false">IF(B35="",0,SUMIFS('Breakdown Log'!$G$7:$G$506,'Breakdown Log'!$E$7:$E$506,B35,'Breakdown Log'!$B$7:$B$506,"&gt;="&amp;Setup!$C$7,'Breakdown Log'!$B$7:$B$506,"&lt;="&amp;Setup!$C$8))</f>
        <v>0</v>
      </c>
      <c r="E35" s="48" t="n">
        <f aca="false">IF(B35="",-1,D35+(100-ROW())/1000)</f>
        <v>-1</v>
      </c>
      <c r="G35" s="48" t="n">
        <v>10</v>
      </c>
      <c r="H35" s="48" t="str">
        <f aca="false">IF(LARGE($E$26:$E$35,G35)&lt;0,"",INDEX($B$26:$B$35,MATCH(LARGE($E$26:$E$35,G35),$E$26:$E$35,0)))</f>
        <v/>
      </c>
      <c r="I35" s="48" t="n">
        <f aca="false">IF(H35="",0,INDEX($D$26:$D$35,MATCH(LARGE($E$26:$E$35,G35),$E$26:$E$35,0)))</f>
        <v>0</v>
      </c>
      <c r="J35" s="49" t="n">
        <f aca="false">I35/60</f>
        <v>0</v>
      </c>
      <c r="K35" s="50" t="n">
        <f aca="false">IF(SUM($I$26:$I$35)=0,0,SUM($I$26:I35)/SUM($I$26:$I$35))</f>
        <v>1</v>
      </c>
      <c r="L35" s="48" t="n">
        <f aca="false">IF(H35="",0,INDEX($C$26:$C$35,MATCH(LARGE($E$26:$E$35,G35),$E$26:$E$35,0)))</f>
        <v>0</v>
      </c>
    </row>
    <row r="38" customFormat="false" ht="15" hidden="false" customHeight="false" outlineLevel="0" collapsed="false">
      <c r="B38" s="7" t="s">
        <v>150</v>
      </c>
      <c r="H38" s="7" t="s">
        <v>151</v>
      </c>
    </row>
    <row r="39" customFormat="false" ht="15" hidden="false" customHeight="false" outlineLevel="0" collapsed="false">
      <c r="B39" s="7" t="s">
        <v>152</v>
      </c>
      <c r="C39" s="7" t="s">
        <v>141</v>
      </c>
      <c r="D39" s="7" t="s">
        <v>153</v>
      </c>
      <c r="E39" s="7" t="s">
        <v>154</v>
      </c>
      <c r="H39" s="7" t="s">
        <v>155</v>
      </c>
      <c r="I39" s="7" t="s">
        <v>141</v>
      </c>
      <c r="J39" s="7" t="s">
        <v>153</v>
      </c>
    </row>
    <row r="40" customFormat="false" ht="15" hidden="false" customHeight="false" outlineLevel="0" collapsed="false">
      <c r="B40" s="51" t="n">
        <f aca="false">DATE(YEAR(Setup!$C$7),MONTH(Setup!$C$7),1)</f>
        <v>46113</v>
      </c>
      <c r="C40" s="48" t="n">
        <f aca="false">COUNTIFS('Breakdown Log'!$B$7:$B$506,"&gt;="&amp;B40,'Breakdown Log'!$B$7:$B$506,"&lt;"&amp;EDATE(B40,1),'Breakdown Log'!$B$7:$B$506,"&gt;="&amp;Setup!$C$7,'Breakdown Log'!$B$7:$B$506,"&lt;="&amp;Setup!$C$8)</f>
        <v>24</v>
      </c>
      <c r="D40" s="49" t="n">
        <f aca="false">SUMIFS('Breakdown Log'!$G$7:$G$506,'Breakdown Log'!$B$7:$B$506,"&gt;="&amp;B40,'Breakdown Log'!$B$7:$B$506,"&lt;"&amp;EDATE(B40,1),'Breakdown Log'!$B$7:$B$506,"&gt;="&amp;Setup!$C$7,'Breakdown Log'!$B$7:$B$506,"&lt;="&amp;Setup!$C$8)/60</f>
        <v>11.9833333333333</v>
      </c>
      <c r="E40" s="48" t="str">
        <f aca="false">TEXT(B40,"mmm yy")</f>
        <v>Apr 26</v>
      </c>
      <c r="H40" s="48" t="s">
        <v>64</v>
      </c>
      <c r="I40" s="48" t="n">
        <f aca="false">COUNTIFS('Breakdown Log'!$C$7:$C$506,H40,'Breakdown Log'!$B$7:$B$506,"&gt;="&amp;Setup!$C$7,'Breakdown Log'!$B$7:$B$506,"&lt;="&amp;Setup!$C$8)</f>
        <v>30</v>
      </c>
      <c r="J40" s="49" t="n">
        <f aca="false">SUMIFS('Breakdown Log'!$G$7:$G$506,'Breakdown Log'!$C$7:$C$506,H40,'Breakdown Log'!$B$7:$B$506,"&gt;="&amp;Setup!$C$7,'Breakdown Log'!$B$7:$B$506,"&lt;="&amp;Setup!$C$8)/60</f>
        <v>16.9833333333333</v>
      </c>
    </row>
    <row r="41" customFormat="false" ht="15" hidden="false" customHeight="false" outlineLevel="0" collapsed="false">
      <c r="B41" s="51" t="n">
        <f aca="false">EDATE(B40,1)</f>
        <v>46143</v>
      </c>
      <c r="C41" s="48" t="n">
        <f aca="false">COUNTIFS('Breakdown Log'!$B$7:$B$506,"&gt;="&amp;B41,'Breakdown Log'!$B$7:$B$506,"&lt;"&amp;EDATE(B41,1),'Breakdown Log'!$B$7:$B$506,"&gt;="&amp;Setup!$C$7,'Breakdown Log'!$B$7:$B$506,"&lt;="&amp;Setup!$C$8)</f>
        <v>24</v>
      </c>
      <c r="D41" s="49" t="n">
        <f aca="false">SUMIFS('Breakdown Log'!$G$7:$G$506,'Breakdown Log'!$B$7:$B$506,"&gt;="&amp;B41,'Breakdown Log'!$B$7:$B$506,"&lt;"&amp;EDATE(B41,1),'Breakdown Log'!$B$7:$B$506,"&gt;="&amp;Setup!$C$7,'Breakdown Log'!$B$7:$B$506,"&lt;="&amp;Setup!$C$8)/60</f>
        <v>15.25</v>
      </c>
      <c r="E41" s="48" t="str">
        <f aca="false">TEXT(B41,"mmm yy")</f>
        <v>May 26</v>
      </c>
      <c r="H41" s="48" t="s">
        <v>78</v>
      </c>
      <c r="I41" s="48" t="n">
        <f aca="false">COUNTIFS('Breakdown Log'!$C$7:$C$506,H41,'Breakdown Log'!$B$7:$B$506,"&gt;="&amp;Setup!$C$7,'Breakdown Log'!$B$7:$B$506,"&lt;="&amp;Setup!$C$8)</f>
        <v>34</v>
      </c>
      <c r="J41" s="49" t="n">
        <f aca="false">SUMIFS('Breakdown Log'!$G$7:$G$506,'Breakdown Log'!$C$7:$C$506,H41,'Breakdown Log'!$B$7:$B$506,"&gt;="&amp;Setup!$C$7,'Breakdown Log'!$B$7:$B$506,"&lt;="&amp;Setup!$C$8)/60</f>
        <v>19.5166666666667</v>
      </c>
    </row>
    <row r="42" customFormat="false" ht="15" hidden="false" customHeight="false" outlineLevel="0" collapsed="false">
      <c r="B42" s="51" t="n">
        <f aca="false">EDATE(B41,1)</f>
        <v>46174</v>
      </c>
      <c r="C42" s="48" t="n">
        <f aca="false">COUNTIFS('Breakdown Log'!$B$7:$B$506,"&gt;="&amp;B42,'Breakdown Log'!$B$7:$B$506,"&lt;"&amp;EDATE(B42,1),'Breakdown Log'!$B$7:$B$506,"&gt;="&amp;Setup!$C$7,'Breakdown Log'!$B$7:$B$506,"&lt;="&amp;Setup!$C$8)</f>
        <v>26</v>
      </c>
      <c r="D42" s="49" t="n">
        <f aca="false">SUMIFS('Breakdown Log'!$G$7:$G$506,'Breakdown Log'!$B$7:$B$506,"&gt;="&amp;B42,'Breakdown Log'!$B$7:$B$506,"&lt;"&amp;EDATE(B42,1),'Breakdown Log'!$B$7:$B$506,"&gt;="&amp;Setup!$C$7,'Breakdown Log'!$B$7:$B$506,"&lt;="&amp;Setup!$C$8)/60</f>
        <v>16.8833333333333</v>
      </c>
      <c r="E42" s="48" t="str">
        <f aca="false">TEXT(B42,"mmm yy")</f>
        <v>Jun 26</v>
      </c>
      <c r="H42" s="48" t="s">
        <v>48</v>
      </c>
      <c r="I42" s="48" t="n">
        <f aca="false">COUNTIFS('Breakdown Log'!$C$7:$C$506,H42,'Breakdown Log'!$B$7:$B$506,"&gt;="&amp;Setup!$C$7,'Breakdown Log'!$B$7:$B$506,"&lt;="&amp;Setup!$C$8)</f>
        <v>39</v>
      </c>
      <c r="J42" s="49" t="n">
        <f aca="false">SUMIFS('Breakdown Log'!$G$7:$G$506,'Breakdown Log'!$C$7:$C$506,H42,'Breakdown Log'!$B$7:$B$506,"&gt;="&amp;Setup!$C$7,'Breakdown Log'!$B$7:$B$506,"&lt;="&amp;Setup!$C$8)/60</f>
        <v>24.0166666666667</v>
      </c>
    </row>
    <row r="43" customFormat="false" ht="15" hidden="false" customHeight="false" outlineLevel="0" collapsed="false">
      <c r="B43" s="51" t="n">
        <f aca="false">EDATE(B42,1)</f>
        <v>46204</v>
      </c>
      <c r="C43" s="48" t="n">
        <f aca="false">COUNTIFS('Breakdown Log'!$B$7:$B$506,"&gt;="&amp;B43,'Breakdown Log'!$B$7:$B$506,"&lt;"&amp;EDATE(B43,1),'Breakdown Log'!$B$7:$B$506,"&gt;="&amp;Setup!$C$7,'Breakdown Log'!$B$7:$B$506,"&lt;="&amp;Setup!$C$8)</f>
        <v>23</v>
      </c>
      <c r="D43" s="49" t="n">
        <f aca="false">SUMIFS('Breakdown Log'!$G$7:$G$506,'Breakdown Log'!$B$7:$B$506,"&gt;="&amp;B43,'Breakdown Log'!$B$7:$B$506,"&lt;"&amp;EDATE(B43,1),'Breakdown Log'!$B$7:$B$506,"&gt;="&amp;Setup!$C$7,'Breakdown Log'!$B$7:$B$506,"&lt;="&amp;Setup!$C$8)/60</f>
        <v>12.7</v>
      </c>
      <c r="E43" s="48" t="str">
        <f aca="false">TEXT(B43,"mmm yy")</f>
        <v>Jul 26</v>
      </c>
      <c r="H43" s="48" t="s">
        <v>59</v>
      </c>
      <c r="I43" s="48" t="n">
        <f aca="false">COUNTIFS('Breakdown Log'!$C$7:$C$506,H43,'Breakdown Log'!$B$7:$B$506,"&gt;="&amp;Setup!$C$7,'Breakdown Log'!$B$7:$B$506,"&lt;="&amp;Setup!$C$8)</f>
        <v>29</v>
      </c>
      <c r="J43" s="49" t="n">
        <f aca="false">SUMIFS('Breakdown Log'!$G$7:$G$506,'Breakdown Log'!$C$7:$C$506,H43,'Breakdown Log'!$B$7:$B$506,"&gt;="&amp;Setup!$C$7,'Breakdown Log'!$B$7:$B$506,"&lt;="&amp;Setup!$C$8)/60</f>
        <v>13.8</v>
      </c>
    </row>
    <row r="44" customFormat="false" ht="15" hidden="false" customHeight="false" outlineLevel="0" collapsed="false">
      <c r="B44" s="51" t="n">
        <f aca="false">EDATE(B43,1)</f>
        <v>46235</v>
      </c>
      <c r="C44" s="48" t="n">
        <f aca="false">COUNTIFS('Breakdown Log'!$B$7:$B$506,"&gt;="&amp;B44,'Breakdown Log'!$B$7:$B$506,"&lt;"&amp;EDATE(B44,1),'Breakdown Log'!$B$7:$B$506,"&gt;="&amp;Setup!$C$7,'Breakdown Log'!$B$7:$B$506,"&lt;="&amp;Setup!$C$8)</f>
        <v>16</v>
      </c>
      <c r="D44" s="49" t="n">
        <f aca="false">SUMIFS('Breakdown Log'!$G$7:$G$506,'Breakdown Log'!$B$7:$B$506,"&gt;="&amp;B44,'Breakdown Log'!$B$7:$B$506,"&lt;"&amp;EDATE(B44,1),'Breakdown Log'!$B$7:$B$506,"&gt;="&amp;Setup!$C$7,'Breakdown Log'!$B$7:$B$506,"&lt;="&amp;Setup!$C$8)/60</f>
        <v>9.06666666666667</v>
      </c>
      <c r="E44" s="48" t="str">
        <f aca="false">TEXT(B44,"mmm yy")</f>
        <v>Aug 26</v>
      </c>
      <c r="H44" s="48" t="s">
        <v>156</v>
      </c>
      <c r="I44" s="48" t="n">
        <f aca="false">COUNTIFS('Breakdown Log'!$C$7:$C$506,H44,'Breakdown Log'!$B$7:$B$506,"&gt;="&amp;Setup!$C$7,'Breakdown Log'!$B$7:$B$506,"&lt;="&amp;Setup!$C$8)</f>
        <v>0</v>
      </c>
      <c r="J44" s="49" t="n">
        <f aca="false">SUMIFS('Breakdown Log'!$G$7:$G$506,'Breakdown Log'!$C$7:$C$506,H44,'Breakdown Log'!$B$7:$B$506,"&gt;="&amp;Setup!$C$7,'Breakdown Log'!$B$7:$B$506,"&lt;="&amp;Setup!$C$8)/60</f>
        <v>0</v>
      </c>
    </row>
    <row r="45" customFormat="false" ht="15" hidden="false" customHeight="false" outlineLevel="0" collapsed="false">
      <c r="B45" s="51" t="n">
        <f aca="false">EDATE(B44,1)</f>
        <v>46266</v>
      </c>
      <c r="C45" s="48" t="n">
        <f aca="false">COUNTIFS('Breakdown Log'!$B$7:$B$506,"&gt;="&amp;B45,'Breakdown Log'!$B$7:$B$506,"&lt;"&amp;EDATE(B45,1),'Breakdown Log'!$B$7:$B$506,"&gt;="&amp;Setup!$C$7,'Breakdown Log'!$B$7:$B$506,"&lt;="&amp;Setup!$C$8)</f>
        <v>19</v>
      </c>
      <c r="D45" s="49" t="n">
        <f aca="false">SUMIFS('Breakdown Log'!$G$7:$G$506,'Breakdown Log'!$B$7:$B$506,"&gt;="&amp;B45,'Breakdown Log'!$B$7:$B$506,"&lt;"&amp;EDATE(B45,1),'Breakdown Log'!$B$7:$B$506,"&gt;="&amp;Setup!$C$7,'Breakdown Log'!$B$7:$B$506,"&lt;="&amp;Setup!$C$8)/60</f>
        <v>8.43333333333333</v>
      </c>
      <c r="E45" s="48" t="str">
        <f aca="false">TEXT(B45,"mmm yy")</f>
        <v>Sep 26</v>
      </c>
    </row>
    <row r="46" customFormat="false" ht="15" hidden="false" customHeight="false" outlineLevel="0" collapsed="false">
      <c r="B46" s="51" t="n">
        <f aca="false">EDATE(B45,1)</f>
        <v>46296</v>
      </c>
      <c r="C46" s="48" t="n">
        <f aca="false">COUNTIFS('Breakdown Log'!$B$7:$B$506,"&gt;="&amp;B46,'Breakdown Log'!$B$7:$B$506,"&lt;"&amp;EDATE(B46,1),'Breakdown Log'!$B$7:$B$506,"&gt;="&amp;Setup!$C$7,'Breakdown Log'!$B$7:$B$506,"&lt;="&amp;Setup!$C$8)</f>
        <v>0</v>
      </c>
      <c r="D46" s="49" t="n">
        <f aca="false">SUMIFS('Breakdown Log'!$G$7:$G$506,'Breakdown Log'!$B$7:$B$506,"&gt;="&amp;B46,'Breakdown Log'!$B$7:$B$506,"&lt;"&amp;EDATE(B46,1),'Breakdown Log'!$B$7:$B$506,"&gt;="&amp;Setup!$C$7,'Breakdown Log'!$B$7:$B$506,"&lt;="&amp;Setup!$C$8)/60</f>
        <v>0</v>
      </c>
      <c r="E46" s="48" t="str">
        <f aca="false">TEXT(B46,"mmm yy")</f>
        <v>Oct 26</v>
      </c>
    </row>
    <row r="47" customFormat="false" ht="15" hidden="false" customHeight="false" outlineLevel="0" collapsed="false">
      <c r="B47" s="51" t="n">
        <f aca="false">EDATE(B46,1)</f>
        <v>46327</v>
      </c>
      <c r="C47" s="48" t="n">
        <f aca="false">COUNTIFS('Breakdown Log'!$B$7:$B$506,"&gt;="&amp;B47,'Breakdown Log'!$B$7:$B$506,"&lt;"&amp;EDATE(B47,1),'Breakdown Log'!$B$7:$B$506,"&gt;="&amp;Setup!$C$7,'Breakdown Log'!$B$7:$B$506,"&lt;="&amp;Setup!$C$8)</f>
        <v>0</v>
      </c>
      <c r="D47" s="49" t="n">
        <f aca="false">SUMIFS('Breakdown Log'!$G$7:$G$506,'Breakdown Log'!$B$7:$B$506,"&gt;="&amp;B47,'Breakdown Log'!$B$7:$B$506,"&lt;"&amp;EDATE(B47,1),'Breakdown Log'!$B$7:$B$506,"&gt;="&amp;Setup!$C$7,'Breakdown Log'!$B$7:$B$506,"&lt;="&amp;Setup!$C$8)/60</f>
        <v>0</v>
      </c>
      <c r="E47" s="48" t="str">
        <f aca="false">TEXT(B47,"mmm yy")</f>
        <v>Nov 26</v>
      </c>
    </row>
    <row r="48" customFormat="false" ht="15" hidden="false" customHeight="false" outlineLevel="0" collapsed="false">
      <c r="B48" s="51" t="n">
        <f aca="false">EDATE(B47,1)</f>
        <v>46357</v>
      </c>
      <c r="C48" s="48" t="n">
        <f aca="false">COUNTIFS('Breakdown Log'!$B$7:$B$506,"&gt;="&amp;B48,'Breakdown Log'!$B$7:$B$506,"&lt;"&amp;EDATE(B48,1),'Breakdown Log'!$B$7:$B$506,"&gt;="&amp;Setup!$C$7,'Breakdown Log'!$B$7:$B$506,"&lt;="&amp;Setup!$C$8)</f>
        <v>0</v>
      </c>
      <c r="D48" s="49" t="n">
        <f aca="false">SUMIFS('Breakdown Log'!$G$7:$G$506,'Breakdown Log'!$B$7:$B$506,"&gt;="&amp;B48,'Breakdown Log'!$B$7:$B$506,"&lt;"&amp;EDATE(B48,1),'Breakdown Log'!$B$7:$B$506,"&gt;="&amp;Setup!$C$7,'Breakdown Log'!$B$7:$B$506,"&lt;="&amp;Setup!$C$8)/60</f>
        <v>0</v>
      </c>
      <c r="E48" s="48" t="str">
        <f aca="false">TEXT(B48,"mmm yy")</f>
        <v>Dec 26</v>
      </c>
    </row>
    <row r="49" customFormat="false" ht="15" hidden="false" customHeight="false" outlineLevel="0" collapsed="false">
      <c r="B49" s="51" t="n">
        <f aca="false">EDATE(B48,1)</f>
        <v>46388</v>
      </c>
      <c r="C49" s="48" t="n">
        <f aca="false">COUNTIFS('Breakdown Log'!$B$7:$B$506,"&gt;="&amp;B49,'Breakdown Log'!$B$7:$B$506,"&lt;"&amp;EDATE(B49,1),'Breakdown Log'!$B$7:$B$506,"&gt;="&amp;Setup!$C$7,'Breakdown Log'!$B$7:$B$506,"&lt;="&amp;Setup!$C$8)</f>
        <v>0</v>
      </c>
      <c r="D49" s="49" t="n">
        <f aca="false">SUMIFS('Breakdown Log'!$G$7:$G$506,'Breakdown Log'!$B$7:$B$506,"&gt;="&amp;B49,'Breakdown Log'!$B$7:$B$506,"&lt;"&amp;EDATE(B49,1),'Breakdown Log'!$B$7:$B$506,"&gt;="&amp;Setup!$C$7,'Breakdown Log'!$B$7:$B$506,"&lt;="&amp;Setup!$C$8)/60</f>
        <v>0</v>
      </c>
      <c r="E49" s="48" t="str">
        <f aca="false">TEXT(B49,"mmm yy")</f>
        <v>Jan 27</v>
      </c>
    </row>
    <row r="50" customFormat="false" ht="15" hidden="false" customHeight="false" outlineLevel="0" collapsed="false">
      <c r="B50" s="51" t="n">
        <f aca="false">EDATE(B49,1)</f>
        <v>46419</v>
      </c>
      <c r="C50" s="48" t="n">
        <f aca="false">COUNTIFS('Breakdown Log'!$B$7:$B$506,"&gt;="&amp;B50,'Breakdown Log'!$B$7:$B$506,"&lt;"&amp;EDATE(B50,1),'Breakdown Log'!$B$7:$B$506,"&gt;="&amp;Setup!$C$7,'Breakdown Log'!$B$7:$B$506,"&lt;="&amp;Setup!$C$8)</f>
        <v>0</v>
      </c>
      <c r="D50" s="49" t="n">
        <f aca="false">SUMIFS('Breakdown Log'!$G$7:$G$506,'Breakdown Log'!$B$7:$B$506,"&gt;="&amp;B50,'Breakdown Log'!$B$7:$B$506,"&lt;"&amp;EDATE(B50,1),'Breakdown Log'!$B$7:$B$506,"&gt;="&amp;Setup!$C$7,'Breakdown Log'!$B$7:$B$506,"&lt;="&amp;Setup!$C$8)/60</f>
        <v>0</v>
      </c>
      <c r="E50" s="48" t="str">
        <f aca="false">TEXT(B50,"mmm yy")</f>
        <v>Feb 27</v>
      </c>
    </row>
    <row r="51" customFormat="false" ht="15" hidden="false" customHeight="false" outlineLevel="0" collapsed="false">
      <c r="B51" s="51" t="n">
        <f aca="false">EDATE(B50,1)</f>
        <v>46447</v>
      </c>
      <c r="C51" s="48" t="n">
        <f aca="false">COUNTIFS('Breakdown Log'!$B$7:$B$506,"&gt;="&amp;B51,'Breakdown Log'!$B$7:$B$506,"&lt;"&amp;EDATE(B51,1),'Breakdown Log'!$B$7:$B$506,"&gt;="&amp;Setup!$C$7,'Breakdown Log'!$B$7:$B$506,"&lt;="&amp;Setup!$C$8)</f>
        <v>0</v>
      </c>
      <c r="D51" s="49" t="n">
        <f aca="false">SUMIFS('Breakdown Log'!$G$7:$G$506,'Breakdown Log'!$B$7:$B$506,"&gt;="&amp;B51,'Breakdown Log'!$B$7:$B$506,"&lt;"&amp;EDATE(B51,1),'Breakdown Log'!$B$7:$B$506,"&gt;="&amp;Setup!$C$7,'Breakdown Log'!$B$7:$B$506,"&lt;="&amp;Setup!$C$8)/60</f>
        <v>0</v>
      </c>
      <c r="E51" s="48" t="str">
        <f aca="false">TEXT(B51,"mmm yy")</f>
        <v>Mar 27</v>
      </c>
    </row>
    <row r="55" customFormat="false" ht="15" hidden="false" customHeight="false" outlineLevel="0" collapsed="false">
      <c r="B55" s="7" t="s">
        <v>157</v>
      </c>
    </row>
    <row r="56" customFormat="false" ht="15" hidden="false" customHeight="false" outlineLevel="0" collapsed="false">
      <c r="B56" s="48" t="s">
        <v>141</v>
      </c>
      <c r="C56" s="52" t="n">
        <f aca="false">COUNTIFS('Breakdown Log'!$B$7:$B$506,"&gt;="&amp;Setup!$C$7,'Breakdown Log'!$B$7:$B$506,"&lt;="&amp;Setup!$C$8)</f>
        <v>132</v>
      </c>
    </row>
    <row r="57" customFormat="false" ht="15" hidden="false" customHeight="false" outlineLevel="0" collapsed="false">
      <c r="B57" s="48" t="s">
        <v>158</v>
      </c>
      <c r="C57" s="52" t="n">
        <f aca="false">SUMIFS('Breakdown Log'!$G$7:$G$506,'Breakdown Log'!$B$7:$B$506,"&gt;="&amp;Setup!$C$7,'Breakdown Log'!$B$7:$B$506,"&lt;="&amp;Setup!$C$8)</f>
        <v>4459</v>
      </c>
    </row>
    <row r="58" customFormat="false" ht="15" hidden="false" customHeight="false" outlineLevel="0" collapsed="false">
      <c r="B58" s="48" t="s">
        <v>159</v>
      </c>
      <c r="C58" s="52" t="n">
        <f aca="false">Setup!$C$12</f>
        <v>2745</v>
      </c>
    </row>
    <row r="59" customFormat="false" ht="15" hidden="false" customHeight="false" outlineLevel="0" collapsed="false">
      <c r="B59" s="48" t="s">
        <v>160</v>
      </c>
      <c r="C59" s="53" t="n">
        <f aca="false">IF(C56=0,"-",(C58-C57/60)/C56)</f>
        <v>20.2324494949495</v>
      </c>
    </row>
    <row r="60" customFormat="false" ht="15" hidden="false" customHeight="false" outlineLevel="0" collapsed="false">
      <c r="B60" s="48" t="s">
        <v>161</v>
      </c>
      <c r="C60" s="52" t="n">
        <f aca="false">IF(C56=0,"-",C57/C56)</f>
        <v>33.780303030303</v>
      </c>
    </row>
    <row r="61" customFormat="false" ht="15" hidden="false" customHeight="false" outlineLevel="0" collapsed="false">
      <c r="B61" s="48" t="s">
        <v>162</v>
      </c>
      <c r="C61" s="54" t="n">
        <f aca="false">IF(C58=0,"-",(C58-C57/60)/C58)</f>
        <v>0.972926533090468</v>
      </c>
    </row>
    <row r="62" customFormat="false" ht="15" hidden="false" customHeight="false" outlineLevel="0" collapsed="false">
      <c r="B62" s="48" t="s">
        <v>163</v>
      </c>
      <c r="C62" s="55" t="n">
        <f aca="false">C57/60*N(Setup!$C$11)</f>
        <v>18579.1666666667</v>
      </c>
    </row>
    <row r="63" customFormat="false" ht="15" hidden="false" customHeight="false" outlineLevel="0" collapsed="false">
      <c r="B63" s="48" t="s">
        <v>164</v>
      </c>
      <c r="C63" s="50" t="n">
        <f aca="false">IF(C56=0,"-",COUNTIFS('Breakdown Log'!$I$7:$I$506,"Yes",'Breakdown Log'!$B$7:$B$506,"&gt;="&amp;Setup!$C$7,'Breakdown Log'!$B$7:$B$506,"&lt;="&amp;Setup!$C$8)/C56)</f>
        <v>0.348484848484849</v>
      </c>
    </row>
    <row r="64" customFormat="false" ht="15" hidden="false" customHeight="false" outlineLevel="0" collapsed="false">
      <c r="B64" s="48" t="s">
        <v>165</v>
      </c>
      <c r="C64" s="50" t="n">
        <f aca="false">IF(C57=0,0,I7/C57)</f>
        <v>0.333482843686925</v>
      </c>
    </row>
    <row r="65" customFormat="false" ht="15" hidden="false" customHeight="false" outlineLevel="0" collapsed="false">
      <c r="B65" s="48" t="s">
        <v>166</v>
      </c>
      <c r="C65" s="50" t="n">
        <f aca="false">IF(C57=0,0,I26/C57)</f>
        <v>0.30858936981386</v>
      </c>
    </row>
  </sheetData>
  <sheetProtection sheet="true"/>
  <mergeCells count="2">
    <mergeCell ref="B1:L1"/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2026-10-27T00:17:48Z</dcterms:created>
  <dc:creator>Kaizen XP</dc:creator>
  <dc:description/>
  <dc:language>en-US</dc:language>
  <cp:lastModifiedBy/>
  <dcterms:modified xsi:type="dcterms:W3CDTF">2026-10-27T00:17:50Z</dcterms:modified>
  <cp:revision>1</cp:revision>
  <dc:subject/>
  <dc:title>Breakdown Analysis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